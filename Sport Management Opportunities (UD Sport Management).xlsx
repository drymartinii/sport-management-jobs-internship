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ernships" sheetId="1" r:id="rId5"/>
    <sheet state="visible" name="Full-Time Jobs" sheetId="2" r:id="rId6"/>
    <sheet state="visible" name="Notes" sheetId="3" r:id="rId7"/>
  </sheets>
  <definedNames>
    <definedName hidden="1" localSheetId="2" name="_xlnm._FilterDatabase">Notes!$A$1</definedName>
    <definedName hidden="1" localSheetId="1" name="Z_23C145B1_B916_493E_9D54_F07A5CF0B662_.wvu.FilterData">'Full-Time Jobs'!$A$5:$T$45</definedName>
    <definedName hidden="1" localSheetId="0" name="Z_61B9B5E2_A561_4533_AD5B_78B21FE3756B_.wvu.FilterData">Internships!$A$5:$T$45</definedName>
  </definedNames>
  <calcPr/>
  <customWorkbookViews>
    <customWorkbookView activeSheetId="0" maximized="1" windowHeight="0" windowWidth="0" guid="{23C145B1-B916-493E-9D54-F07A5CF0B662}" name="FullTimeListings filter view"/>
    <customWorkbookView activeSheetId="0" maximized="1" windowHeight="0" windowWidth="0" guid="{61B9B5E2-A561-4533-AD5B-78B21FE3756B}" name="InternshipListings filter view"/>
  </customWorkbookViews>
</workbook>
</file>

<file path=xl/sharedStrings.xml><?xml version="1.0" encoding="utf-8"?>
<sst xmlns="http://schemas.openxmlformats.org/spreadsheetml/2006/main" count="1393" uniqueCount="580">
  <si>
    <t>Disclaimer: These listings are provided for informational purposes only. Job and internship details, including deadlines, eligibility, compensation, location, and availability, may change or contain errors. Always verify information and application requirements through the employer’s official posting before applying. Inclusion in this spreadsheet does not constitute endorsement.</t>
  </si>
  <si>
    <t>Sport Management Internships</t>
  </si>
  <si>
    <t>Sport Management Full-Time Jobs</t>
  </si>
  <si>
    <t>Listings</t>
  </si>
  <si>
    <t>Closing within 7 days</t>
  </si>
  <si>
    <t>Last refresh</t>
  </si>
  <si>
    <t>Filter headers to explore roles. Scroll right for career area, pay, eligibility and verification notes.</t>
  </si>
  <si>
    <t>Date Added</t>
  </si>
  <si>
    <t>Job Title</t>
  </si>
  <si>
    <t>Organization</t>
  </si>
  <si>
    <t>Opportunity Type</t>
  </si>
  <si>
    <t>Location</t>
  </si>
  <si>
    <t>State</t>
  </si>
  <si>
    <t>Remote / Hybrid / On-Site</t>
  </si>
  <si>
    <t>Application Deadline</t>
  </si>
  <si>
    <t>Application Link</t>
  </si>
  <si>
    <t>Original Job Source</t>
  </si>
  <si>
    <t>Posting Date</t>
  </si>
  <si>
    <t>Status</t>
  </si>
  <si>
    <t>Career Area</t>
  </si>
  <si>
    <t>Last Verified</t>
  </si>
  <si>
    <t>Compensation</t>
  </si>
  <si>
    <t>Experience / Eligibility</t>
  </si>
  <si>
    <t>Student Highlights</t>
  </si>
  <si>
    <t>Verification Notes</t>
  </si>
  <si>
    <t>Record ID</t>
  </si>
  <si>
    <t>Added This Week</t>
  </si>
  <si>
    <t>Media Relations Coordinator, Athletics</t>
  </si>
  <si>
    <t>Burns Entertainment &amp; Sports Marketing Spring 2027 Internship</t>
  </si>
  <si>
    <t>Indiana State University</t>
  </si>
  <si>
    <t>Burns Entertainment &amp; Sports Marketing</t>
  </si>
  <si>
    <t>Internship</t>
  </si>
  <si>
    <t>Full-Time</t>
  </si>
  <si>
    <t>Remote</t>
  </si>
  <si>
    <t>Terre Haute</t>
  </si>
  <si>
    <t>IN</t>
  </si>
  <si>
    <t>Not listed</t>
  </si>
  <si>
    <t>University official recruitment site</t>
  </si>
  <si>
    <t>Tufts University Career Center</t>
  </si>
  <si>
    <t>Closing Soon</t>
  </si>
  <si>
    <t>Sport Marketing</t>
  </si>
  <si>
    <t>Sport Communication / Public Relations</t>
  </si>
  <si>
    <t>Unpaid</t>
  </si>
  <si>
    <t>$20.17–$22.48/hour</t>
  </si>
  <si>
    <t>Student opportunity; confirm academic-credit requirements with your institution.</t>
  </si>
  <si>
    <t>Related bachelor’s degree; 2–3 years, including one year in sports information/media relations.</t>
  </si>
  <si>
    <t>Agency experience; athlete/influencer research; staff training and feedback.</t>
  </si>
  <si>
    <t>College athletics; coordinator position.</t>
  </si>
  <si>
    <t>Deadline is university-board expiration, not a confirmed employer cutoff. Apply instructions on page include cover letter and resume to janell.santiago@burnsent.com. Geographic eligibility Not listed.</t>
  </si>
  <si>
    <t>No visa sponsorship. Review work-authorization requirements on application page.</t>
  </si>
  <si>
    <t>ISU-26-00222</t>
  </si>
  <si>
    <t>BURNS-SPRING2027</t>
  </si>
  <si>
    <t>Yes</t>
  </si>
  <si>
    <t>Digital Internship (Spring 2027)</t>
  </si>
  <si>
    <t>Business Development Representative - Youth &amp; Club Sports</t>
  </si>
  <si>
    <t>Pittsburgh Penguins</t>
  </si>
  <si>
    <t>Pittsburgh</t>
  </si>
  <si>
    <t>PA</t>
  </si>
  <si>
    <t>On-Site</t>
  </si>
  <si>
    <t>TeamWork Online (employer listing)</t>
  </si>
  <si>
    <t>Hudl</t>
  </si>
  <si>
    <t>Lincoln</t>
  </si>
  <si>
    <t>NE</t>
  </si>
  <si>
    <t>Digital / Social Media</t>
  </si>
  <si>
    <t>Hybrid</t>
  </si>
  <si>
    <t>$10/hour</t>
  </si>
  <si>
    <t>Two years of college completed, or equivalent education/training/experience.</t>
  </si>
  <si>
    <t>Paid; NHL; digital content experience.</t>
  </si>
  <si>
    <t>January 11–April 16, 2027; 15–20 hours/week.</t>
  </si>
  <si>
    <t>TWO-2186925</t>
  </si>
  <si>
    <t>Employer Greenhouse application page</t>
  </si>
  <si>
    <t>2027 MIA Academy Internship Program</t>
  </si>
  <si>
    <t>New</t>
  </si>
  <si>
    <t>Formula 1 Crypto.com Miami Grand Prix</t>
  </si>
  <si>
    <t>Business Development</t>
  </si>
  <si>
    <t>Miami Gardens</t>
  </si>
  <si>
    <t>$34,000–$46,000/year base; $49,000–$66,000 OTE</t>
  </si>
  <si>
    <t>FL</t>
  </si>
  <si>
    <t>College degree; familiarity with sales tools. No minimum years specified.</t>
  </si>
  <si>
    <t>Sport technology; early-career sales and development.</t>
  </si>
  <si>
    <t>Three days/week in Lincoln office; Omaha-area residents may commute. OTE includes variable compensation.</t>
  </si>
  <si>
    <t>HUDL-8119343</t>
  </si>
  <si>
    <t>Marketing &amp; Revenue Strategy Coordinator (Full-time: Temporary)</t>
  </si>
  <si>
    <t>University of Nebraska–Lincoln</t>
  </si>
  <si>
    <t>Sport Operations</t>
  </si>
  <si>
    <t>Paid; rate Not listed</t>
  </si>
  <si>
    <t>Current undergraduate/graduate student. Program targets St. Thomas University, Florida Memorial University and Miami Gardens community.</t>
  </si>
  <si>
    <t>Paid; mentorship; cross-department exposure.</t>
  </si>
  <si>
    <t>January 18–May 7, 2027; at least 30 hours/week. Employer deadline October 2 at 11:59 p.m. ET overrides later university-board expiration. Confirm targeted eligibility.</t>
  </si>
  <si>
    <t>College Athletics</t>
  </si>
  <si>
    <t>TWO-2187467</t>
  </si>
  <si>
    <t>$19.231/hour</t>
  </si>
  <si>
    <t>Related bachelor’s degree and one year of marketing/communications experience; two years preferred.</t>
  </si>
  <si>
    <t>College athletics; one-year experience minimum.</t>
  </si>
  <si>
    <t>Corporate Partnerships Intern - Spring 2026</t>
  </si>
  <si>
    <t>Pacers Sports &amp; Entertainment</t>
  </si>
  <si>
    <t>Full-time temporary appointment. Open until filled; September 24 review date is not an application deadline.</t>
  </si>
  <si>
    <t>UNL-S_260760</t>
  </si>
  <si>
    <t>Indianapolis</t>
  </si>
  <si>
    <t>Finance Development Program</t>
  </si>
  <si>
    <t>DICK'S Sporting Goods</t>
  </si>
  <si>
    <t>Coraopolis</t>
  </si>
  <si>
    <t>Sponsorship / Partnership Activation</t>
  </si>
  <si>
    <t>Employer career page</t>
  </si>
  <si>
    <t>Enrolled college junior, senior or graduate student.</t>
  </si>
  <si>
    <t>NBA/WNBA; sponsorship activation and events.</t>
  </si>
  <si>
    <t>Source inconsistency: title says Spring 2026; description says Spring 2027 (January–May). Confirm term before applying. 25–30 hours/week.</t>
  </si>
  <si>
    <t>Finance</t>
  </si>
  <si>
    <t>TWO-2190521</t>
  </si>
  <si>
    <t>Bachelor’s degree in finance; less than one year of professional experience.</t>
  </si>
  <si>
    <t>New graduate program; four six-month rotations; professional development.</t>
  </si>
  <si>
    <t>Internship - Community Relations</t>
  </si>
  <si>
    <t>Full-time two-year program starting August 23, 2027.</t>
  </si>
  <si>
    <t>DSG-202629239</t>
  </si>
  <si>
    <t>Houston Rockets</t>
  </si>
  <si>
    <t>Houston</t>
  </si>
  <si>
    <t>TX</t>
  </si>
  <si>
    <t>Campaign Analytics, Data Analyst</t>
  </si>
  <si>
    <t>FanDuel</t>
  </si>
  <si>
    <t>New York</t>
  </si>
  <si>
    <t>NY</t>
  </si>
  <si>
    <t>Community Relations</t>
  </si>
  <si>
    <t>Current student or recent graduate; nonprofit experience a plus.</t>
  </si>
  <si>
    <t>Data / Sport Analytics</t>
  </si>
  <si>
    <t>NBA; community programs and nonprofit exposure.</t>
  </si>
  <si>
    <t>Nights, weekends and home-game attendance required. Formal remote/hybrid/on-site designation Not listed.</t>
  </si>
  <si>
    <t>TWO-2190825</t>
  </si>
  <si>
    <t>$90,000–$112,000/year</t>
  </si>
  <si>
    <t>One or more years in a similar role; SQL/Excel; relevant quantitative degree or equivalent.</t>
  </si>
  <si>
    <t>Sports betting; campaign measurement; early-career analyst.</t>
  </si>
  <si>
    <t>Full-time classification corroborated by Global Sports Jobs listing.</t>
  </si>
  <si>
    <t>Internship - Arena Marketing</t>
  </si>
  <si>
    <t>FANDUEL-CAMPAIGN-ANALYST</t>
  </si>
  <si>
    <t>Houston Rockets / Toyota Center</t>
  </si>
  <si>
    <t>Sales Associate, Inside Sales</t>
  </si>
  <si>
    <t>Carolina Hurricanes</t>
  </si>
  <si>
    <t>Raleigh</t>
  </si>
  <si>
    <t>NC</t>
  </si>
  <si>
    <t>Canva and Photoshop skills; flexible nights/weekends.</t>
  </si>
  <si>
    <t>Ticket Sales</t>
  </si>
  <si>
    <t>Venue marketing and live-event experience.</t>
  </si>
  <si>
    <t>Toyota Center internship is separate from the Rockets internship program. Work arrangement Not listed.</t>
  </si>
  <si>
    <t>TWO-2190836</t>
  </si>
  <si>
    <t>Bachelor’s preferred; sport/sales internship experience preferred.</t>
  </si>
  <si>
    <t>NHL; nine-month training program; potential promotion.</t>
  </si>
  <si>
    <t>Program begins January 2027. Fixed-term full-time classification corroborated by matching Indeed listing.</t>
  </si>
  <si>
    <t>TWO-2190313</t>
  </si>
  <si>
    <t>Internship - Corporate Partnerships</t>
  </si>
  <si>
    <t>Coordinator, Special Events</t>
  </si>
  <si>
    <t>Nashville Soccer Club</t>
  </si>
  <si>
    <t>Nashville</t>
  </si>
  <si>
    <t>TN</t>
  </si>
  <si>
    <t>Corporate Partnerships</t>
  </si>
  <si>
    <t>Event Management</t>
  </si>
  <si>
    <t>Sponsorship experience preferred; Microsoft Office skills.</t>
  </si>
  <si>
    <t>NBA; partnership fulfillment and activation.</t>
  </si>
  <si>
    <t>High school diploma/GED; event skills. No minimum years stated.</t>
  </si>
  <si>
    <t>Nights/weekends may be required. No exact posting date or deadline listed.</t>
  </si>
  <si>
    <t>MLS; GEODIS Park; accessible coordinator role.</t>
  </si>
  <si>
    <t>TWO-2190845</t>
  </si>
  <si>
    <t>Nights/weekends and venue attendance. Full-time classification corroborated by Sports Careers listing. Formal work arrangement Not listed.</t>
  </si>
  <si>
    <t>TWO-2190266</t>
  </si>
  <si>
    <t>Internship- Brand Marketing Intern (Spring 2027)</t>
  </si>
  <si>
    <t>D.C. United</t>
  </si>
  <si>
    <t>Development Coordinator</t>
  </si>
  <si>
    <t>USA Triathlon</t>
  </si>
  <si>
    <t>Washington</t>
  </si>
  <si>
    <t>Colorado Springs</t>
  </si>
  <si>
    <t>DC</t>
  </si>
  <si>
    <t>CO</t>
  </si>
  <si>
    <t>$21.63–$23.56/hour</t>
  </si>
  <si>
    <t>Active college or graduate student who can receive academic credit.</t>
  </si>
  <si>
    <t>One year in a related nonprofit, events or marketing role; bachelor’s preferred.</t>
  </si>
  <si>
    <t>MLS; brand marketing and matchday experience.</t>
  </si>
  <si>
    <t>National governing body; fundraising, donor relations and events.</t>
  </si>
  <si>
    <t>Work arrangement conflict: header says Hybrid; body says On-Site. Confirm with employer. Full-time corroborated by employer LinkedIn posting. No sponsorship.</t>
  </si>
  <si>
    <t>January–April 2027; up to 25 office hours/week. Tuesday–Thursday at Audi Field plus on-site matches.</t>
  </si>
  <si>
    <t>TWO-2190876</t>
  </si>
  <si>
    <t>TWO-2190786</t>
  </si>
  <si>
    <t>Inside Sales Representative</t>
  </si>
  <si>
    <t>2027 Corrigan Sports Spring/Summer Internship</t>
  </si>
  <si>
    <t>Washington Commanders</t>
  </si>
  <si>
    <t>Corrigan Sports Enterprises</t>
  </si>
  <si>
    <t>Riverdale</t>
  </si>
  <si>
    <t>MD</t>
  </si>
  <si>
    <t>Employer career/application page</t>
  </si>
  <si>
    <t>$15.30/hour plus commission</t>
  </si>
  <si>
    <t>Bachelor’s degree; no professional experience minimum specified.</t>
  </si>
  <si>
    <t>Summer availability of at least 30 hours/week; weekends/travel.</t>
  </si>
  <si>
    <t>NFL; sales training and career development.</t>
  </si>
  <si>
    <t>Summer internship; events, marketing, sales and business departments.</t>
  </si>
  <si>
    <t>One program record covers departmental preferences in the application. Role location not stated; company mailing address is not treated as work location.</t>
  </si>
  <si>
    <t>Full-time corroborated by matching BeBee listing. Employer deadline and formal work arrangement Not listed.</t>
  </si>
  <si>
    <t>CORRIGAN-2027</t>
  </si>
  <si>
    <t>TWO-2190508</t>
  </si>
  <si>
    <t>Merchandising - Summer 2027 Corporate Internship</t>
  </si>
  <si>
    <t>Media Account Coordinator</t>
  </si>
  <si>
    <t>Kroenke Sports &amp; Entertainment</t>
  </si>
  <si>
    <t>Denver</t>
  </si>
  <si>
    <t>Other Sport Business</t>
  </si>
  <si>
    <t>Junior graduating winter 2027 or spring 2028; related business major; Pittsburgh-area summer availability.</t>
  </si>
  <si>
    <t>Summer; furnished housing for nonlocal interns; training and trainee-program pathway.</t>
  </si>
  <si>
    <t>May 17–July 29, 2027; 40 hours/week. Wage not stated on reviewed page; housing support does not establish wage.</t>
  </si>
  <si>
    <t>DSG-202608656</t>
  </si>
  <si>
    <t>$26.44–$31.25/hour</t>
  </si>
  <si>
    <t>Related bachelor’s; 6 months in media sales or related experience</t>
  </si>
  <si>
    <t>Early-career media sales support</t>
  </si>
  <si>
    <t>Product Management - Summer 2027 Corporate Internship</t>
  </si>
  <si>
    <t>Full-time hourly; open until filled; Apply Now present.</t>
  </si>
  <si>
    <t>TWO-2190254</t>
  </si>
  <si>
    <t>Community Relations, Coordinator</t>
  </si>
  <si>
    <t>Washington Nationals</t>
  </si>
  <si>
    <t>Sport Technology</t>
  </si>
  <si>
    <t>Graduating winter 2027 or spring 2028; relevant undergraduate or master’s program.</t>
  </si>
  <si>
    <t>Summer; housing for nonlocal interns; mentoring; potential development-program pathway.</t>
  </si>
  <si>
    <t>May 17–July 29, 2027; 40 hours/week. Product/business/technology focus. Wage Not listed.</t>
  </si>
  <si>
    <t>DSG-202608791</t>
  </si>
  <si>
    <t>$20.11–$22.37/hour</t>
  </si>
  <si>
    <t>Minimum years Not listed; US work authorization; nights/weekends</t>
  </si>
  <si>
    <t>MLB community programming</t>
  </si>
  <si>
    <t>Accounting &amp; Finance Internship (Spring 2027)</t>
  </si>
  <si>
    <t>Full-time hourly stated; Apply Now present.</t>
  </si>
  <si>
    <t>TWO-2190816</t>
  </si>
  <si>
    <t>Ticketing - Membership Services Specialist</t>
  </si>
  <si>
    <t>Fan Engagement</t>
  </si>
  <si>
    <t>2 years of college or equivalent; finance/accounting/business studies preferred</t>
  </si>
  <si>
    <t>Paid; Spring 2027; 15 hours/week</t>
  </si>
  <si>
    <t>Employer posting has Apply Now; in-person internship.</t>
  </si>
  <si>
    <t>TWO-2186757</t>
  </si>
  <si>
    <t>1 year of sport ticketing/customer service experience</t>
  </si>
  <si>
    <t>MLS; member service and retention</t>
  </si>
  <si>
    <t>Apply Now present; full-time corroboration: https://www.indeed.com/viewjob?jk=40d105556d0028e2</t>
  </si>
  <si>
    <t>TWO-2190631</t>
  </si>
  <si>
    <t>Pittsburgh Penguins Foundation - Community Relations Internship (Spring 2027)</t>
  </si>
  <si>
    <t>Match Production Coordinator</t>
  </si>
  <si>
    <t>FC Cincinnati</t>
  </si>
  <si>
    <t>Cincinnati</t>
  </si>
  <si>
    <t>OH</t>
  </si>
  <si>
    <t>1–2 years control-room production; related bachelor’s or equivalent</t>
  </si>
  <si>
    <t>MLS match presentation; Adobe and production systems</t>
  </si>
  <si>
    <t>Optional WFH day depends on department/schedule. Full-time corroboration: https://www.sports-careers.com/jobs/match-production-coordinator-at-fc-cincinnati-171003</t>
  </si>
  <si>
    <t>2 years of college or equivalent</t>
  </si>
  <si>
    <t>TWO-2189950</t>
  </si>
  <si>
    <t>Paid; Spring 2027; 15–30 hours/week; community events</t>
  </si>
  <si>
    <t>TWO-2186756</t>
  </si>
  <si>
    <t>Specialist, Accounts Payable</t>
  </si>
  <si>
    <t>Golden State Warriors</t>
  </si>
  <si>
    <t>Event &amp; Hospitality Support Internship (Spring 2027)</t>
  </si>
  <si>
    <t>San Francisco</t>
  </si>
  <si>
    <t>CA</t>
  </si>
  <si>
    <t>$32–$34/hour plus bonus</t>
  </si>
  <si>
    <t>2 years accounts payable/accounting; accounting/business administration bachelor’s; advanced Excel</t>
  </si>
  <si>
    <t>NBA finance; suitable for graduates with accounting experience</t>
  </si>
  <si>
    <t>Full-time stated; Apply Now present.</t>
  </si>
  <si>
    <t>TWO-2190863</t>
  </si>
  <si>
    <t>Paid; Spring 2027; 25–30 hours/week; nights/weekends</t>
  </si>
  <si>
    <t>TWO-2186755</t>
  </si>
  <si>
    <t>LA Kings - Account Executive, Group Sales</t>
  </si>
  <si>
    <t>Los Angeles Kings</t>
  </si>
  <si>
    <t>El Segundo</t>
  </si>
  <si>
    <t>Ticket Sales Internship (Spring 2027)</t>
  </si>
  <si>
    <t>$23.53/hour plus commission</t>
  </si>
  <si>
    <t>Bachelor’s; 2–4 years related experience</t>
  </si>
  <si>
    <t>NHL group sales; suitable for candidates meeting the 2-year minimum</t>
  </si>
  <si>
    <t>Higher experience range flagged; full-time benefits stated; no visa sponsorship.</t>
  </si>
  <si>
    <t>TWO-2190755</t>
  </si>
  <si>
    <t>Paid; Spring 2027; 30–40 hours/week</t>
  </si>
  <si>
    <t>Assistant Planner</t>
  </si>
  <si>
    <t>TWO-2186748</t>
  </si>
  <si>
    <t>IRONMAN</t>
  </si>
  <si>
    <t>Tampa</t>
  </si>
  <si>
    <t>Corporate Partnerships Internship (Spring 2027)</t>
  </si>
  <si>
    <t>Related bachelor’s; 1–3 years planning, allocation, inventory or analytical experience</t>
  </si>
  <si>
    <t>Sport merchandise planning and analysis</t>
  </si>
  <si>
    <t>Merchandise planning, not race-day logistics. Full-time corroboration: https://www.tealhq.com/job/assistant-planner_7ea1a5a0b2b0b06b9b8b7f4331b55afd7afce</t>
  </si>
  <si>
    <t>TWO-2190309</t>
  </si>
  <si>
    <t>Account Executive, Group Sales</t>
  </si>
  <si>
    <t>Charlotte Hornets</t>
  </si>
  <si>
    <t>Charlotte, NC</t>
  </si>
  <si>
    <t>TWO-2186743</t>
  </si>
  <si>
    <t>Media Relations Internship (Spring 2027)</t>
  </si>
  <si>
    <t>1 year successful group sales; related bachelor’s preferred</t>
  </si>
  <si>
    <t>NBA; full-time benefits; group sales development</t>
  </si>
  <si>
    <t>Employer application page active; exact posting date and deadline not listed.</t>
  </si>
  <si>
    <t>TWO-2189609</t>
  </si>
  <si>
    <t>Team Administrator, Academy</t>
  </si>
  <si>
    <t>Sporting Kansas City</t>
  </si>
  <si>
    <t>Paid; Spring 2027; 10–15 hours/week; Pittsburgh and Cranberry Township</t>
  </si>
  <si>
    <t>Kansas City, MO</t>
  </si>
  <si>
    <t>MO</t>
  </si>
  <si>
    <t>TWO-2186739</t>
  </si>
  <si>
    <t>Penguins Radio Network Internship (Spring 2027)</t>
  </si>
  <si>
    <t>1–3 years related experience; soccer experience; bachelor’s required</t>
  </si>
  <si>
    <t>MLS academy; team travel and operations</t>
  </si>
  <si>
    <t>Active employer listing; full-time corroborated by https://www.justsoccerjobs.com/jobs/team-administrator-academy-a0042e23</t>
  </si>
  <si>
    <t>TWO-2189257</t>
  </si>
  <si>
    <t>Media and Traffic Operations Specialist</t>
  </si>
  <si>
    <t>2 years of college or equivalent; communications/broadcasting or related field</t>
  </si>
  <si>
    <t>Paid; Spring 2027; 20–40 hours/week; live broadcasts and podcasts</t>
  </si>
  <si>
    <t>TWO-2186797</t>
  </si>
  <si>
    <t>Denver, CO</t>
  </si>
  <si>
    <t>Internship - Corporate Strategy</t>
  </si>
  <si>
    <t>$31.25–$36.06/hour plus bonus</t>
  </si>
  <si>
    <t>3 years media, sales support or traffic experience; related bachelor’s</t>
  </si>
  <si>
    <t>Full-time, non-supervisory; sports media operations</t>
  </si>
  <si>
    <t>Active employer listing; full-time explicitly stated; open until filled. Board labels Manager, but role is non-supervisory.</t>
  </si>
  <si>
    <t>TWO-2190255</t>
  </si>
  <si>
    <t>Account Executive, Business Development</t>
  </si>
  <si>
    <t>Phoenix Suns / Player 15 Group</t>
  </si>
  <si>
    <t>Phoenix, AZ</t>
  </si>
  <si>
    <t>Excel/PowerPoint; sponsorship, strategy or analytics experience preferred</t>
  </si>
  <si>
    <t>NBA business strategy exposure</t>
  </si>
  <si>
    <t>AZ</t>
  </si>
  <si>
    <t>Apply Now present; nights/weekends may be required.</t>
  </si>
  <si>
    <t>TWO-2190843</t>
  </si>
  <si>
    <t>Communications Intern</t>
  </si>
  <si>
    <t>Buffalo Sabres</t>
  </si>
  <si>
    <t>Buffalo</t>
  </si>
  <si>
    <t>1–3 years sales; high school/GED; bachelor’s or equivalent experience</t>
  </si>
  <si>
    <t>NBA/WNBA/G League ticket revenue and membership</t>
  </si>
  <si>
    <t>Active employer listing; full-time corroborated by SportsCareers: https://www.sports-careers.com/jobs/account-executive-business-development-at-phoenix-suns-190620</t>
  </si>
  <si>
    <t>TWO-2190620</t>
  </si>
  <si>
    <t>Hockey Programs Coordinator</t>
  </si>
  <si>
    <t>Children’s Health StarCenter Euless</t>
  </si>
  <si>
    <t>$16/hour</t>
  </si>
  <si>
    <t>PR, communications or journalism bachelor’s preferred</t>
  </si>
  <si>
    <t>Paid; 2026–27 season; Sabres and Bandits</t>
  </si>
  <si>
    <t>Euless, TX</t>
  </si>
  <si>
    <t>Temporary part-time internship; Apply Now present.</t>
  </si>
  <si>
    <t>TWO-2190093</t>
  </si>
  <si>
    <t>Spring 2027 CRM Intern</t>
  </si>
  <si>
    <t>Comcast Spectacor</t>
  </si>
  <si>
    <t>Philadelphia</t>
  </si>
  <si>
    <t>Fitness / Recreation Management</t>
  </si>
  <si>
    <t>$30,000–$33,000/year</t>
  </si>
  <si>
    <t>College degree preferred; minimum years not listed</t>
  </si>
  <si>
    <t>Hockey programming; administrative and on-ice duties</t>
  </si>
  <si>
    <t>Active employer listing; full-time corroborated by Indeed employer listing: https://www.indeed.com/viewjob?jk=27072a05ad529aaa</t>
  </si>
  <si>
    <t>TWO-2189548</t>
  </si>
  <si>
    <t>Business Operations Coordinator</t>
  </si>
  <si>
    <t>Base pay $15.00; unit Not listed</t>
  </si>
  <si>
    <t>StarCenter Properties</t>
  </si>
  <si>
    <t>Current US bachelor’s student; 0–2 years; US work authorization without sponsorship</t>
  </si>
  <si>
    <t>January–May; 20 hours/week; CRM experience</t>
  </si>
  <si>
    <t>Frisco, TX</t>
  </si>
  <si>
    <t>On-site unless otherwise arranged. Exact deadline unavailable; stated posting window is flexible.</t>
  </si>
  <si>
    <t>TWO-2190302</t>
  </si>
  <si>
    <t>Human Resources Intern - PT</t>
  </si>
  <si>
    <t>Green Bay Packers</t>
  </si>
  <si>
    <t>Green Bay</t>
  </si>
  <si>
    <t>WI</t>
  </si>
  <si>
    <t>$40,000/year</t>
  </si>
  <si>
    <t>Bachelor’s; 1+ years relevant professional experience</t>
  </si>
  <si>
    <t>Sports facility business reporting and programming</t>
  </si>
  <si>
    <t>Active employer listing; full-time corroborated by https://www.talent.com/view?id=636892270316749674</t>
  </si>
  <si>
    <t>TWO-2189776</t>
  </si>
  <si>
    <t>2027 Baseball Operations Associate</t>
  </si>
  <si>
    <t>Boston Red Sox</t>
  </si>
  <si>
    <t>Senior status in HR degree program; prior administrative experience preferred</t>
  </si>
  <si>
    <t>NFL business operations; 20–29 hours/week</t>
  </si>
  <si>
    <t>Boston, MA</t>
  </si>
  <si>
    <t>Specialized HR eligibility; hours can reach 40. Apply Now present.</t>
  </si>
  <si>
    <t>TWO-2190821</t>
  </si>
  <si>
    <t>MA</t>
  </si>
  <si>
    <t>Indiana Pacers Basketball Analytics Intern - Spring 2027</t>
  </si>
  <si>
    <t>$20/hour plus monthly living stipend (amount not listed)</t>
  </si>
  <si>
    <t>Prior baseball experience not required; quantitative tools a plus</t>
  </si>
  <si>
    <t>Training and mentorship; January or June–October 31, 2027</t>
  </si>
  <si>
    <t>Active employer listing; fixed-term full-time role highlighted by Sports Careers LinkedIn.</t>
  </si>
  <si>
    <t>TWO-2188314</t>
  </si>
  <si>
    <t>Coordinator, Events Sales &amp; Service</t>
  </si>
  <si>
    <t>U.S. Soccer Federation</t>
  </si>
  <si>
    <t>Junior, senior or graduate student; Python and SQL required</t>
  </si>
  <si>
    <t>Atlanta, GA</t>
  </si>
  <si>
    <t>January–May; approximately 40 hours/week; sport experience not required</t>
  </si>
  <si>
    <t>GA</t>
  </si>
  <si>
    <t>Technical eligibility; Apply Now present.</t>
  </si>
  <si>
    <t>TWO-2190523</t>
  </si>
  <si>
    <t>Intern, Payroll Services</t>
  </si>
  <si>
    <t>Phoenix Suns</t>
  </si>
  <si>
    <t>Phoenix</t>
  </si>
  <si>
    <t>1–3 years event coordination, event services or venue operations</t>
  </si>
  <si>
    <t>National Training Center; professional development</t>
  </si>
  <si>
    <t>Active employer listing; full-time corroborated by https://thinkeventplanningjobs.com/jobs/coordinator-events-sales</t>
  </si>
  <si>
    <t>TWO-2191828</t>
  </si>
  <si>
    <t>Coordinator, U.S. Women’s Open Operations</t>
  </si>
  <si>
    <t>USGA</t>
  </si>
  <si>
    <t>High school diploma/GED; Excel and numerical skills</t>
  </si>
  <si>
    <t>Toledo, OH</t>
  </si>
  <si>
    <t>NBA/WNBA/G League business operations</t>
  </si>
  <si>
    <t>In-person culture stated; Apply Now present.</t>
  </si>
  <si>
    <t>TWO-2190657</t>
  </si>
  <si>
    <t>Operations Intern</t>
  </si>
  <si>
    <t>Sports Force Park</t>
  </si>
  <si>
    <t>Sandusky</t>
  </si>
  <si>
    <t>$50,000–$58,000/year; housing stipend eligible</t>
  </si>
  <si>
    <t>1–3+ years relevant sport/event operations</t>
  </si>
  <si>
    <t>2027 championship at Inverness Club; relocation to future sites required</t>
  </si>
  <si>
    <t>TWO-2191580</t>
  </si>
  <si>
    <t>Coordinator Sponsor Relations</t>
  </si>
  <si>
    <t>PGA TOUR</t>
  </si>
  <si>
    <t>$12/hour</t>
  </si>
  <si>
    <t>Current sport/event management or related student; customer service experience</t>
  </si>
  <si>
    <t>Ponte Vedra Beach, FL</t>
  </si>
  <si>
    <t>Paid summer internship; May 10–August 9, 2027; housing can be provided</t>
  </si>
  <si>
    <t>Employer listing shows Apply Now; exact posting date not listed.</t>
  </si>
  <si>
    <t>TWO-2191726</t>
  </si>
  <si>
    <t>Community Outreach Intern</t>
  </si>
  <si>
    <t>2+ years partnerships, events or sales support; bachelor’s preferred</t>
  </si>
  <si>
    <t>Golf partnership fulfillment and account coordination</t>
  </si>
  <si>
    <t>Active employer listing; full-time corroborated by Indeed: https://www.indeed.com/viewjob?jk=b1baa8054ee0d65a</t>
  </si>
  <si>
    <t>TWO-2191309</t>
  </si>
  <si>
    <t>Partnership Solutions Coordinator - Virginia Commonwealth University</t>
  </si>
  <si>
    <t>Learfield Sports Properties</t>
  </si>
  <si>
    <t>Richmond, VA</t>
  </si>
  <si>
    <t>VA</t>
  </si>
  <si>
    <t>Associate’s or bachelor’s preferred; flexible schedule</t>
  </si>
  <si>
    <t>January–December 2027; approximately 40 hours/week</t>
  </si>
  <si>
    <t>TWO-2191808</t>
  </si>
  <si>
    <t>External Affairs Community Engagement Intern, 2027 Season</t>
  </si>
  <si>
    <t>Indianapolis Motor Speedway</t>
  </si>
  <si>
    <t>Some related experience; internships welcome; related bachelor’s preferred</t>
  </si>
  <si>
    <t>College athletics; internship experience accepted</t>
  </si>
  <si>
    <t>TWO-2191836</t>
  </si>
  <si>
    <t>Corporate Partnerships - Coordinator, Partnership Activation</t>
  </si>
  <si>
    <t>Nashville, TN</t>
  </si>
  <si>
    <t>Current undergraduate; communication, data and MS Office skills</t>
  </si>
  <si>
    <t>January–October 2027; college development program</t>
  </si>
  <si>
    <t>TWO-2191547</t>
  </si>
  <si>
    <t>Business Development Intern - Partnerships &amp; Sales Operations</t>
  </si>
  <si>
    <t>Utah Jazz</t>
  </si>
  <si>
    <t>Sandy</t>
  </si>
  <si>
    <t>Related bachelor’s; 2 years relevant experience preferred</t>
  </si>
  <si>
    <t>UT</t>
  </si>
  <si>
    <t>MLS corporate sponsorship activation</t>
  </si>
  <si>
    <t>TWO-2191489</t>
  </si>
  <si>
    <t>Membership Services Coordinator</t>
  </si>
  <si>
    <t>USA Fencing</t>
  </si>
  <si>
    <t>Colorado Springs, CO</t>
  </si>
  <si>
    <t>Pursuing bachelor’s; own transportation on event days</t>
  </si>
  <si>
    <t>Supports Jazz and Mammoth partnership sales</t>
  </si>
  <si>
    <t>TWO-2191167</t>
  </si>
  <si>
    <t>Intern, People &amp; Culture (Human Resources)</t>
  </si>
  <si>
    <t>St. Louis Blues, Enterprise Center, Stifel Theatre</t>
  </si>
  <si>
    <t>$24–$27/hour</t>
  </si>
  <si>
    <t>St. Louis</t>
  </si>
  <si>
    <t>Related bachelor’s; 1–2 years membership/customer service</t>
  </si>
  <si>
    <t>Olympic governing body; flexible location; member programs</t>
  </si>
  <si>
    <t>Active employer listing; full-time corroborated by Teal; employer listing specifies hybrid/flexible location.</t>
  </si>
  <si>
    <t>TWO-2190880</t>
  </si>
  <si>
    <t>Partnership and Suite Coordinator</t>
  </si>
  <si>
    <t>Indy Fuel</t>
  </si>
  <si>
    <t>Fishers, IN</t>
  </si>
  <si>
    <t>$15/hour</t>
  </si>
  <si>
    <t>Current college student or recent graduate; HR majors preferred</t>
  </si>
  <si>
    <t>Paid; 20–29 hours/week; recruiting and onboarding</t>
  </si>
  <si>
    <t>TWO-2191127</t>
  </si>
  <si>
    <t>2027 Winter College Credit Retail Intern</t>
  </si>
  <si>
    <t>York Revolution</t>
  </si>
  <si>
    <t>York</t>
  </si>
  <si>
    <t>Bachelor’s or equivalent; 2 years related experience</t>
  </si>
  <si>
    <t>Minor-league hockey; partner and suite hospitality</t>
  </si>
  <si>
    <t>Active employer listing; full-time corroborated by employer LinkedIn job: https://www.linkedin.com/jobs/view/4469338938</t>
  </si>
  <si>
    <t>TWO-2191483</t>
  </si>
  <si>
    <t>Coordinator Media &amp; Partner Solutions</t>
  </si>
  <si>
    <t>Unpaid; college credit</t>
  </si>
  <si>
    <t>Current college student</t>
  </si>
  <si>
    <t>January 4–May 23; team retail and e-commerce; no housing</t>
  </si>
  <si>
    <t>TWO-2191344</t>
  </si>
  <si>
    <t>Spring 2027 Internal Programming Intern</t>
  </si>
  <si>
    <t>Grand Park Sports &amp; Entertainment</t>
  </si>
  <si>
    <t>Westfield</t>
  </si>
  <si>
    <t>Related bachelor’s; up to 2 years presentation/design experience</t>
  </si>
  <si>
    <t>0–2 years; media sales presentations and creative support</t>
  </si>
  <si>
    <t>Active employer listing; full-time corroborated by PGA TOUR jobs on Global Sports.</t>
  </si>
  <si>
    <t>TWO-2191310</t>
  </si>
  <si>
    <t>Paid weekly stipend; amount Not listed</t>
  </si>
  <si>
    <t>Event Coordinator</t>
  </si>
  <si>
    <t>Undergraduate/graduate in sport management or related field; driver’s license</t>
  </si>
  <si>
    <t>Legends Global / Destination El Paso</t>
  </si>
  <si>
    <t>Youth leagues and camps; academic credit possible; no housing</t>
  </si>
  <si>
    <t>El Paso, TX</t>
  </si>
  <si>
    <t>TWO-2190591</t>
  </si>
  <si>
    <t>Marketing Intern, The Star District</t>
  </si>
  <si>
    <t>Dallas Cowboys</t>
  </si>
  <si>
    <t>Frisco</t>
  </si>
  <si>
    <t>1 year event/venue operations; customer service required; bachelor’s preferred</t>
  </si>
  <si>
    <t>Full-time stated; public venue event coordination</t>
  </si>
  <si>
    <t>TWO-2191012</t>
  </si>
  <si>
    <t>Related bachelor’s required; prior marketing internship preferred</t>
  </si>
  <si>
    <t>One-year program; up to 30 hours/week; events and digital marketing</t>
  </si>
  <si>
    <t>TWO-2191303</t>
  </si>
  <si>
    <t>Premium Club Coordinator</t>
  </si>
  <si>
    <t>Legends Global</t>
  </si>
  <si>
    <t>Guest Experience Administration Intern, 2027 Season</t>
  </si>
  <si>
    <t>Current undergraduate or graduate; event/staffing interest</t>
  </si>
  <si>
    <t>January–July 2027; 10–15 hours/week, 40+ in May; development programming</t>
  </si>
  <si>
    <t>Premium sports arena hospitality and guest service</t>
  </si>
  <si>
    <t>TWO-2190739</t>
  </si>
  <si>
    <t>Active employer listing uses Frisco; syndicated full-time listings use Dallas. Confirm precise worksite with employer.</t>
  </si>
  <si>
    <t>TWO-2190737</t>
  </si>
  <si>
    <t>2027 Full-Time Partnership Activation Intern - York Revolution</t>
  </si>
  <si>
    <t>Program and Office Coordinator</t>
  </si>
  <si>
    <t>Madison Mallards and Madison Night Mares</t>
  </si>
  <si>
    <t>Madison, WI</t>
  </si>
  <si>
    <t>$1,000/month stipend</t>
  </si>
  <si>
    <t>Recent college graduate</t>
  </si>
  <si>
    <t>March–September 2027; sponsorship fulfillment; no housing</t>
  </si>
  <si>
    <t>Summer collegiate baseball/softball; community programs and office operations</t>
  </si>
  <si>
    <t>TWO-2191254</t>
  </si>
  <si>
    <t>Active employer listing; full-time corroborated by Indeed/SimplyHired; minimum years and degree not listed.</t>
  </si>
  <si>
    <t>TWO-2191015</t>
  </si>
  <si>
    <t>Digital Content Intern - Spring 2027</t>
  </si>
  <si>
    <t>Non-Profit Organization Staffing Coordinator - Raymond James Stadium</t>
  </si>
  <si>
    <t>Tampa, FL</t>
  </si>
  <si>
    <t>Junior, senior or graduate student; Photoshop or Premiere; strong writing</t>
  </si>
  <si>
    <t>January–May; 20–25 hours/week; NBA/WNBA content</t>
  </si>
  <si>
    <t>TWO-2190932</t>
  </si>
  <si>
    <t>Related staffing, volunteer, hospitality or event experience preferred; minimum years not listed</t>
  </si>
  <si>
    <t>NFL venue; nonprofit partner coordination</t>
  </si>
  <si>
    <t>Sports Video Editing Intern</t>
  </si>
  <si>
    <t>Chicago Union</t>
  </si>
  <si>
    <t>TWO-2191718</t>
  </si>
  <si>
    <t>Elmhurst</t>
  </si>
  <si>
    <t>IL</t>
  </si>
  <si>
    <t>Office Coordinator</t>
  </si>
  <si>
    <t>Michelin Raceway Road Atlanta / NASCAR</t>
  </si>
  <si>
    <t>Braselton, GA</t>
  </si>
  <si>
    <t>2 years Adobe Premiere editing; degree/formal training; portfolio</t>
  </si>
  <si>
    <t>January–August; remote editing plus required home-game attendance</t>
  </si>
  <si>
    <t>Employer describes remote work plus in-person games at Elmhurst University. Program year Not listed; Apply Now present.</t>
  </si>
  <si>
    <t>TWO-2190988</t>
  </si>
  <si>
    <t>Ticket Operations Intern, 2027 Season</t>
  </si>
  <si>
    <t>High school/GED and 3 years related experience/training, or equivalent</t>
  </si>
  <si>
    <t>Motorsports; office and ticketing support</t>
  </si>
  <si>
    <t>Full-time employer Workday listing specifies Braselton; TeamWork header says Atlanta.</t>
  </si>
  <si>
    <t>TWO-2191184</t>
  </si>
  <si>
    <t>Operations Coordinator</t>
  </si>
  <si>
    <t>Hollywood Park / SoFi Stadium</t>
  </si>
  <si>
    <t>Inglewood, CA</t>
  </si>
  <si>
    <t>Current undergraduate/graduate or equivalent experience/training; customer service</t>
  </si>
  <si>
    <t>January–July 2027; Indy 500 ticket operations</t>
  </si>
  <si>
    <t>TWO-2190721</t>
  </si>
  <si>
    <t>Guest Experience Programs Intern, 2027 Season</t>
  </si>
  <si>
    <t>Facility / Venue Management</t>
  </si>
  <si>
    <t>$23–$27/hour</t>
  </si>
  <si>
    <t>Related bachelor’s; 3 years public assembly facility experience; driver’s license</t>
  </si>
  <si>
    <t>NFL venue operations; best for graduates with 3 years experience</t>
  </si>
  <si>
    <t>TWO-2191094</t>
  </si>
  <si>
    <t>Activation Coordinator, Detroit Red Wings</t>
  </si>
  <si>
    <t>Ilitch Sports + Entertainment</t>
  </si>
  <si>
    <t>Detroit, MI</t>
  </si>
  <si>
    <t>MI</t>
  </si>
  <si>
    <t>January–June 2027; development and networking activities</t>
  </si>
  <si>
    <t>TWO-2190740</t>
  </si>
  <si>
    <t>Credentials Representative Intern INDYCAR &amp; IMS, 2027 Season</t>
  </si>
  <si>
    <t>INDYCAR</t>
  </si>
  <si>
    <t>Related bachelor’s; 2 years related experience or equivalent training</t>
  </si>
  <si>
    <t>NHL sponsorship activation; partnership reporting</t>
  </si>
  <si>
    <t>TWO-2191029</t>
  </si>
  <si>
    <t>Full-Time | FC Dallas | Group Sales Representative</t>
  </si>
  <si>
    <t>FC Dallas</t>
  </si>
  <si>
    <t>January–August 2027; credentials and stakeholder service</t>
  </si>
  <si>
    <t>TWO-2190722</t>
  </si>
  <si>
    <t>Graphic Design Intern</t>
  </si>
  <si>
    <t>Danville Otterbots</t>
  </si>
  <si>
    <t>Danville</t>
  </si>
  <si>
    <t>Base salary + commission + bonus; amounts not listed</t>
  </si>
  <si>
    <t>Bachelor’s; at least 2 years sales experience, preferably ticket sales</t>
  </si>
  <si>
    <t>MLS group experiences; full-time explicitly stated</t>
  </si>
  <si>
    <t>TWO-2190378</t>
  </si>
  <si>
    <t>Pursuing related bachelor’s; Adobe preferred; all games/events required</t>
  </si>
  <si>
    <t>Full-time summer internship, mid-May–early August</t>
  </si>
  <si>
    <t>Season year not specified. Active employer application listing; verify term with employer.</t>
  </si>
  <si>
    <t>TWO-2191083</t>
  </si>
  <si>
    <t>Partnership Solutions Coordinator - University of North Carolina at Chapel Hill</t>
  </si>
  <si>
    <t>Chapel Hill, NC</t>
  </si>
  <si>
    <t>College athletics; internships accepted toward experience</t>
  </si>
  <si>
    <t>Active employer listing; full-time corroborated by Indeed; exact posting date and deadline not listed.</t>
  </si>
  <si>
    <t>TWO-2191539</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</si>
</sst>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yy"/>
    <numFmt numFmtId="165" formatCode="mm/dd/yyyy"/>
  </numFmts>
  <fonts count="7">
    <font>
      <sz val="11.0"/>
      <color rgb="FF000000"/>
      <name val="Carlito"/>
      <scheme val="minor"/>
    </font>
    <font>
      <sz val="14.0"/>
      <color theme="1"/>
      <name val="Carlito"/>
      <scheme val="minor"/>
    </font>
    <font>
      <b/>
      <sz val="21.0"/>
      <color rgb="FF000000"/>
      <name val="Arial"/>
    </font>
    <font>
      <sz val="11.0"/>
      <color rgb="FF000000"/>
      <name val="Arial"/>
    </font>
    <font>
      <b/>
      <sz val="11.0"/>
      <color rgb="FF000000"/>
      <name val="Arial"/>
    </font>
    <font>
      <u/>
      <sz val="11.0"/>
      <color rgb="FF000000"/>
      <name val="Arial"/>
    </font>
    <font>
      <u/>
      <sz val="11.0"/>
      <color rgb="FF000000"/>
      <name val="Arial"/>
    </font>
  </fonts>
  <fills count="5">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rgb="FFEEEEEE"/>
        <bgColor rgb="FFEEEEEE"/>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2" fontId="1" numFmtId="0" xfId="0" applyAlignment="1" applyFill="1" applyFont="1">
      <alignment readingOrder="0" shrinkToFit="0" wrapText="1"/>
    </xf>
    <xf borderId="0" fillId="3" fontId="2" numFmtId="0" xfId="0" applyAlignment="1" applyFill="1" applyFont="1">
      <alignment shrinkToFit="0" vertical="center" wrapText="1"/>
    </xf>
    <xf borderId="0" fillId="3" fontId="3" numFmtId="0" xfId="0" applyAlignment="1" applyFill="1" applyFont="1">
      <alignment shrinkToFit="0" vertical="center" wrapText="1"/>
    </xf>
    <xf borderId="0" fillId="3" fontId="4" numFmtId="0" xfId="0" applyAlignment="1" applyFill="1" applyFont="1">
      <alignment shrinkToFit="0" vertical="center" wrapText="1"/>
    </xf>
    <xf borderId="0" fillId="3" fontId="4" numFmtId="164" xfId="0" applyAlignment="1" applyFill="1" applyFont="1" applyNumberFormat="1">
      <alignment readingOrder="0" shrinkToFit="0" vertical="center" wrapText="1"/>
    </xf>
    <xf borderId="0" fillId="4" fontId="4" numFmtId="0" xfId="0" applyAlignment="1" applyFill="1" applyFont="1">
      <alignment horizontal="left" readingOrder="0" shrinkToFit="0" vertical="center" wrapText="1"/>
    </xf>
    <xf borderId="0" fillId="4" fontId="3" numFmtId="0" xfId="0" applyAlignment="1" applyFill="1" applyFont="1">
      <alignment horizontal="left" readingOrder="0" shrinkToFit="0" vertical="center" wrapText="1"/>
    </xf>
    <xf borderId="0" fillId="3" fontId="3" numFmtId="164" xfId="0" applyAlignment="1" applyFill="1" applyFont="1" applyNumberFormat="1">
      <alignment shrinkToFit="0" vertical="center" wrapText="1"/>
    </xf>
    <xf borderId="0" fillId="3" fontId="3" numFmtId="0" xfId="0" applyAlignment="1" applyFill="1" applyFont="1">
      <alignment shrinkToFit="0" vertical="center" wrapText="1"/>
    </xf>
    <xf borderId="0" fillId="3" fontId="5" numFmtId="0" xfId="0" applyAlignment="1" applyFill="1" applyFont="1">
      <alignment shrinkToFit="0" vertical="center" wrapText="1"/>
    </xf>
    <xf borderId="0" fillId="3" fontId="3" numFmtId="164" xfId="0" applyAlignment="1" applyFill="1" applyFont="1" applyNumberFormat="1">
      <alignment readingOrder="0" shrinkToFit="0" vertical="center" wrapText="1"/>
    </xf>
    <xf borderId="0" fillId="3" fontId="3" numFmtId="0" xfId="0" applyAlignment="1" applyFill="1" applyFont="1">
      <alignment readingOrder="0" shrinkToFit="0" vertical="center" wrapText="1"/>
    </xf>
    <xf borderId="0" fillId="3" fontId="6" numFmtId="0" xfId="0" applyAlignment="1" applyFill="1" applyFont="1">
      <alignment readingOrder="0" shrinkToFit="0" vertical="center" wrapText="1"/>
    </xf>
    <xf borderId="0" fillId="3" fontId="3" numFmtId="165" xfId="0" applyAlignment="1" applyFill="1" applyFont="1" applyNumberFormat="1">
      <alignment readingOrder="0" shrinkToFit="0" vertical="center" wrapText="1"/>
    </xf>
  </cellXfs>
  <cellStyles count="1">
    <cellStyle xfId="0" name="Normal" builtinId="0"/>
  </cellStyles>
  <dxfs count="11">
    <dxf>
      <font/>
      <fill>
        <patternFill patternType="none"/>
      </fill>
      <border/>
    </dxf>
    <dxf>
      <font/>
      <fill>
        <patternFill patternType="solid">
          <fgColor rgb="FFFFFFFF"/>
          <bgColor rgb="FFFFFFFF"/>
        </patternFill>
      </fill>
      <border/>
    </dxf>
    <dxf>
      <font/>
      <fill>
        <patternFill patternType="solid">
          <fgColor theme="0"/>
          <bgColor theme="0"/>
        </patternFill>
      </fill>
      <border/>
    </dxf>
    <dxf>
      <font/>
      <fill>
        <patternFill patternType="solid">
          <fgColor rgb="FFD8D8D8"/>
          <bgColor rgb="FFD8D8D8"/>
        </patternFill>
      </fill>
      <border/>
    </dxf>
    <dxf>
      <border>
        <left style="thin">
          <color rgb="FFFFFFFF"/>
        </left>
        <right style="thin">
          <color rgb="FFFFFFFF"/>
        </right>
        <top style="thin">
          <color rgb="FFFFFFFF"/>
        </top>
        <bottom style="thin">
          <color rgb="FFFFFFFF"/>
        </bottom>
      </border>
    </dxf>
    <dxf>
      <border>
        <left style="thin">
          <color theme="0"/>
        </left>
        <right style="thin">
          <color theme="0"/>
        </right>
        <top style="thin">
          <color theme="0"/>
        </top>
        <bottom style="thin">
          <color theme="0"/>
        </bottom>
      </border>
    </dxf>
    <dxf>
      <font>
        <b/>
        <color rgb="FF166534"/>
      </font>
      <fill>
        <patternFill patternType="solid">
          <fgColor rgb="FFDCFCE7"/>
          <bgColor rgb="FFDCFCE7"/>
        </patternFill>
      </fill>
      <border/>
    </dxf>
    <dxf>
      <font>
        <b/>
        <color rgb="FF92400E"/>
      </font>
      <fill>
        <patternFill patternType="solid">
          <fgColor rgb="FFFEF3C7"/>
          <bgColor rgb="FFFEF3C7"/>
        </patternFill>
      </fill>
      <border/>
    </dxf>
    <dxf>
      <font>
        <b/>
        <color rgb="FF4B5563"/>
      </font>
      <fill>
        <patternFill patternType="solid">
          <fgColor rgb="FFE5E7EB"/>
          <bgColor rgb="FFE5E7EB"/>
        </patternFill>
      </fill>
      <border/>
    </dxf>
    <dxf>
      <font>
        <b/>
        <color rgb="FF075985"/>
      </font>
      <fill>
        <patternFill patternType="solid">
          <fgColor rgb="FFE0F2FE"/>
          <bgColor rgb="FFE0F2FE"/>
        </patternFill>
      </fill>
      <border/>
    </dxf>
    <dxf>
      <font/>
      <fill>
        <patternFill patternType="solid">
          <fgColor rgb="FFB7E1CD"/>
          <bgColor rgb="FFB7E1CD"/>
        </patternFill>
      </fill>
      <border/>
    </dxf>
  </dxfs>
  <tableStyles count="2">
    <tableStyle count="4" pivot="0" name="Internships-style">
      <tableStyleElement dxfId="1" type="headerRow"/>
      <tableStyleElement dxfId="3" type="firstRowStripe"/>
      <tableStyleElement dxfId="1" type="secondRowStripe"/>
      <tableStyleElement dxfId="4" size="0" type="wholeTable"/>
    </tableStyle>
    <tableStyle count="4" pivot="0" name="Full-Time Jobs-style">
      <tableStyleElement dxfId="2" type="headerRow"/>
      <tableStyleElement dxfId="3" type="firstRowStripe"/>
      <tableStyleElement dxfId="2" type="secondRowStripe"/>
      <tableStyleElement dxfId="5"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5:T45" displayName="InternshipListings" name="InternshipListings" id="1">
  <tableColumns count="20">
    <tableColumn name="Date Added" id="1"/>
    <tableColumn name="Job Title" id="2"/>
    <tableColumn name="Organization" id="3"/>
    <tableColumn name="Opportunity Type" id="4"/>
    <tableColumn name="Location" id="5"/>
    <tableColumn name="State" id="6"/>
    <tableColumn name="Remote / Hybrid / On-Site" id="7"/>
    <tableColumn name="Application Deadline" id="8"/>
    <tableColumn name="Application Link" id="9"/>
    <tableColumn name="Original Job Source" id="10"/>
    <tableColumn name="Posting Date" id="11"/>
    <tableColumn name="Status" id="12"/>
    <tableColumn name="Career Area" id="13"/>
    <tableColumn name="Last Verified" id="14"/>
    <tableColumn name="Compensation" id="15"/>
    <tableColumn name="Experience / Eligibility" id="16"/>
    <tableColumn name="Student Highlights" id="17"/>
    <tableColumn name="Verification Notes" id="18"/>
    <tableColumn name="Record ID" id="19"/>
    <tableColumn name="Added This Week" id="20"/>
  </tableColumns>
  <tableStyleInfo name="Internships-style" showColumnStripes="0" showFirstColumn="1" showLastColumn="1" showRowStripes="1"/>
</table>
</file>

<file path=xl/tables/table2.xml><?xml version="1.0" encoding="utf-8"?>
<table xmlns="http://schemas.openxmlformats.org/spreadsheetml/2006/main" ref="A5:T45" displayName="FullTimeListings" name="FullTimeListings" id="2">
  <tableColumns count="20">
    <tableColumn name="Date Added" id="1"/>
    <tableColumn name="Job Title" id="2"/>
    <tableColumn name="Organization" id="3"/>
    <tableColumn name="Opportunity Type" id="4"/>
    <tableColumn name="Location" id="5"/>
    <tableColumn name="State" id="6"/>
    <tableColumn name="Remote / Hybrid / On-Site" id="7"/>
    <tableColumn name="Application Deadline" id="8"/>
    <tableColumn name="Application Link" id="9"/>
    <tableColumn name="Original Job Source" id="10"/>
    <tableColumn name="Posting Date" id="11"/>
    <tableColumn name="Status" id="12"/>
    <tableColumn name="Career Area" id="13"/>
    <tableColumn name="Last Verified" id="14"/>
    <tableColumn name="Compensation" id="15"/>
    <tableColumn name="Experience / Eligibility" id="16"/>
    <tableColumn name="Student Highlights" id="17"/>
    <tableColumn name="Verification Notes" id="18"/>
    <tableColumn name="Record ID" id="19"/>
    <tableColumn name="Added This Week" id="20"/>
  </tableColumns>
  <tableStyleInfo name="Full-Time Job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F766E"/>
    <pageSetUpPr/>
  </sheetPr>
  <sheetViews>
    <sheetView showGridLines="0" workbookViewId="0">
      <pane xSplit="3.0" ySplit="5.0" topLeftCell="D6" activePane="bottomRight" state="frozen"/>
      <selection activeCell="D1" sqref="D1" pane="topRight"/>
      <selection activeCell="A6" sqref="A6" pane="bottomLeft"/>
      <selection activeCell="D6" sqref="D6" pane="bottomRight"/>
    </sheetView>
  </sheetViews>
  <sheetFormatPr customHeight="1" defaultColWidth="12.63" defaultRowHeight="15.0"/>
  <cols>
    <col customWidth="1" min="1" max="1" width="8.25"/>
    <col customWidth="1" min="2" max="2" width="16.88"/>
    <col customWidth="1" min="3" max="3" width="24.75"/>
    <col customWidth="1" min="4" max="4" width="17.0"/>
    <col customWidth="1" min="5" max="5" width="20.0"/>
    <col customWidth="1" min="6" max="6" width="10.0"/>
    <col customWidth="1" min="7" max="7" width="20.0"/>
    <col customWidth="1" min="8" max="8" width="17.0"/>
    <col customWidth="1" min="9" max="9" width="18.0"/>
    <col customWidth="1" min="10" max="10" width="29.0"/>
    <col customWidth="1" min="11" max="11" width="14.0"/>
    <col customWidth="1" min="12" max="12" width="19.0"/>
    <col customWidth="1" min="13" max="13" width="30.0"/>
    <col customWidth="1" min="14" max="14" width="14.0"/>
    <col customWidth="1" min="15" max="15" width="35.0"/>
    <col customWidth="1" min="16" max="16" width="53.0"/>
    <col customWidth="1" min="17" max="17" width="48.0"/>
    <col customWidth="1" min="18" max="18" width="66.0"/>
    <col customWidth="1" min="19" max="19" width="28.0"/>
    <col customWidth="1" min="20" max="20" width="16.0"/>
    <col customWidth="1" min="21" max="26" width="8.63"/>
  </cols>
  <sheetData>
    <row r="1" ht="22.5" customHeight="1">
      <c r="A1" s="2" t="s">
        <v>1</v>
      </c>
      <c r="I1" s="3"/>
      <c r="J1" s="3"/>
      <c r="K1" s="3"/>
      <c r="L1" s="3"/>
      <c r="M1" s="3"/>
      <c r="N1" s="3"/>
      <c r="O1" s="3"/>
      <c r="P1" s="3"/>
      <c r="Q1" s="3"/>
      <c r="R1" s="3"/>
      <c r="S1" s="3"/>
      <c r="T1" s="3"/>
    </row>
    <row r="2" ht="22.5" customHeight="1">
      <c r="I2" s="3"/>
      <c r="J2" s="3"/>
      <c r="K2" s="3"/>
      <c r="L2" s="3"/>
      <c r="M2" s="3"/>
      <c r="N2" s="3"/>
      <c r="O2" s="3"/>
      <c r="P2" s="3"/>
      <c r="Q2" s="3"/>
      <c r="R2" s="3"/>
      <c r="S2" s="3"/>
      <c r="T2" s="3"/>
    </row>
    <row r="3" ht="30.0" customHeight="1">
      <c r="A3" s="4" t="s">
        <v>3</v>
      </c>
      <c r="B3" s="4">
        <f>COUNTA(S6:S45)</f>
        <v>40</v>
      </c>
      <c r="C3" s="3" t="s">
        <v>4</v>
      </c>
      <c r="D3" s="4">
        <f>COUNTIF(L6:L45,"Closing Soon")</f>
        <v>10</v>
      </c>
      <c r="E3" s="4" t="s">
        <v>5</v>
      </c>
      <c r="F3" s="5">
        <v>46292.0</v>
      </c>
      <c r="G3" s="4"/>
      <c r="H3" s="4"/>
      <c r="I3" s="3"/>
      <c r="J3" s="3"/>
      <c r="K3" s="3"/>
      <c r="L3" s="3"/>
      <c r="M3" s="3"/>
      <c r="N3" s="3"/>
      <c r="O3" s="3"/>
      <c r="P3" s="3"/>
      <c r="Q3" s="3"/>
      <c r="R3" s="3"/>
      <c r="S3" s="3"/>
      <c r="T3" s="3"/>
    </row>
    <row r="4" ht="27.75" customHeight="1">
      <c r="A4" s="3" t="s">
        <v>6</v>
      </c>
      <c r="I4" s="3"/>
      <c r="J4" s="3"/>
      <c r="K4" s="3"/>
      <c r="L4" s="3"/>
      <c r="M4" s="3"/>
      <c r="N4" s="3"/>
      <c r="O4" s="3"/>
      <c r="P4" s="3"/>
      <c r="Q4" s="3"/>
      <c r="R4" s="3"/>
      <c r="S4" s="3"/>
      <c r="T4" s="3"/>
    </row>
    <row r="5" ht="42.0" customHeight="1">
      <c r="A5" s="6" t="s">
        <v>7</v>
      </c>
      <c r="B5" s="6" t="s">
        <v>8</v>
      </c>
      <c r="C5" s="7" t="s">
        <v>9</v>
      </c>
      <c r="D5" s="6" t="s">
        <v>10</v>
      </c>
      <c r="E5" s="6" t="s">
        <v>11</v>
      </c>
      <c r="F5" s="6" t="s">
        <v>12</v>
      </c>
      <c r="G5" s="6" t="s">
        <v>13</v>
      </c>
      <c r="H5" s="6" t="s">
        <v>14</v>
      </c>
      <c r="I5" s="6" t="s">
        <v>15</v>
      </c>
      <c r="J5" s="6" t="s">
        <v>16</v>
      </c>
      <c r="K5" s="6" t="s">
        <v>17</v>
      </c>
      <c r="L5" s="6" t="s">
        <v>18</v>
      </c>
      <c r="M5" s="6" t="s">
        <v>19</v>
      </c>
      <c r="N5" s="6" t="s">
        <v>20</v>
      </c>
      <c r="O5" s="6" t="s">
        <v>21</v>
      </c>
      <c r="P5" s="6" t="s">
        <v>22</v>
      </c>
      <c r="Q5" s="6" t="s">
        <v>23</v>
      </c>
      <c r="R5" s="6" t="s">
        <v>24</v>
      </c>
      <c r="S5" s="6" t="s">
        <v>25</v>
      </c>
      <c r="T5" s="6" t="s">
        <v>26</v>
      </c>
    </row>
    <row r="6" ht="43.5" customHeight="1">
      <c r="A6" s="8">
        <v>46291.5</v>
      </c>
      <c r="B6" s="9" t="s">
        <v>28</v>
      </c>
      <c r="C6" s="9" t="s">
        <v>30</v>
      </c>
      <c r="D6" s="9" t="s">
        <v>31</v>
      </c>
      <c r="E6" s="9" t="s">
        <v>33</v>
      </c>
      <c r="F6" s="9" t="s">
        <v>36</v>
      </c>
      <c r="G6" s="9" t="s">
        <v>33</v>
      </c>
      <c r="H6" s="8">
        <v>46292.5</v>
      </c>
      <c r="I6" s="10" t="str">
        <f>HYPERLINK("https://careers.tufts.edu/jobs/burns-entertainment-sports-marketing-burns-entertainment-sports-marketing-spring-2027-internship/","View / apply")</f>
        <v>View / apply</v>
      </c>
      <c r="J6" s="9" t="s">
        <v>38</v>
      </c>
      <c r="K6" s="8">
        <v>46261.5</v>
      </c>
      <c r="L6" s="9" t="s">
        <v>39</v>
      </c>
      <c r="M6" s="9" t="s">
        <v>40</v>
      </c>
      <c r="N6" s="8">
        <v>46291.5</v>
      </c>
      <c r="O6" s="9" t="s">
        <v>42</v>
      </c>
      <c r="P6" s="9" t="s">
        <v>44</v>
      </c>
      <c r="Q6" s="9" t="s">
        <v>46</v>
      </c>
      <c r="R6" s="9" t="s">
        <v>48</v>
      </c>
      <c r="S6" s="9" t="s">
        <v>51</v>
      </c>
      <c r="T6" s="9" t="s">
        <v>52</v>
      </c>
    </row>
    <row r="7" ht="43.5" customHeight="1">
      <c r="A7" s="8">
        <v>46291.5</v>
      </c>
      <c r="B7" s="9" t="s">
        <v>53</v>
      </c>
      <c r="C7" s="9" t="s">
        <v>55</v>
      </c>
      <c r="D7" s="9" t="s">
        <v>31</v>
      </c>
      <c r="E7" s="9" t="s">
        <v>56</v>
      </c>
      <c r="F7" s="9" t="s">
        <v>57</v>
      </c>
      <c r="G7" s="9" t="s">
        <v>58</v>
      </c>
      <c r="H7" s="8">
        <v>46293.5</v>
      </c>
      <c r="I7" s="10" t="str">
        <f>HYPERLINK("https://www.teamworkonline.com/hockey-jobs/pittsburgh-penguins/pittsburgh-penguins/digital-internship-spring-2027-2186925","View / apply")</f>
        <v>View / apply</v>
      </c>
      <c r="J7" s="9" t="s">
        <v>59</v>
      </c>
      <c r="K7" s="8" t="s">
        <v>36</v>
      </c>
      <c r="L7" s="9" t="s">
        <v>39</v>
      </c>
      <c r="M7" s="9" t="s">
        <v>63</v>
      </c>
      <c r="N7" s="8">
        <v>46291.5</v>
      </c>
      <c r="O7" s="9" t="s">
        <v>65</v>
      </c>
      <c r="P7" s="9" t="s">
        <v>66</v>
      </c>
      <c r="Q7" s="9" t="s">
        <v>67</v>
      </c>
      <c r="R7" s="9" t="s">
        <v>68</v>
      </c>
      <c r="S7" s="9" t="s">
        <v>69</v>
      </c>
      <c r="T7" s="9" t="s">
        <v>52</v>
      </c>
    </row>
    <row r="8" ht="39.0" customHeight="1">
      <c r="A8" s="8">
        <v>46291.5</v>
      </c>
      <c r="B8" s="9" t="s">
        <v>71</v>
      </c>
      <c r="C8" s="9" t="s">
        <v>73</v>
      </c>
      <c r="D8" s="9" t="s">
        <v>31</v>
      </c>
      <c r="E8" s="9" t="s">
        <v>75</v>
      </c>
      <c r="F8" s="9" t="s">
        <v>77</v>
      </c>
      <c r="G8" s="9" t="s">
        <v>58</v>
      </c>
      <c r="H8" s="8">
        <v>46297.5</v>
      </c>
      <c r="I8" s="10" t="str">
        <f>HYPERLINK("https://www.teamworkonline.com/motorsports-jobs/formula-1-miami-grand-prix/f1-miami-jobs/2027-mia-academy-internship-program-2187467","View / apply")</f>
        <v>View / apply</v>
      </c>
      <c r="J8" s="9" t="s">
        <v>59</v>
      </c>
      <c r="K8" s="8" t="s">
        <v>36</v>
      </c>
      <c r="L8" s="9" t="s">
        <v>39</v>
      </c>
      <c r="M8" s="9" t="s">
        <v>84</v>
      </c>
      <c r="N8" s="8">
        <v>46291.5</v>
      </c>
      <c r="O8" s="9" t="s">
        <v>85</v>
      </c>
      <c r="P8" s="9" t="s">
        <v>86</v>
      </c>
      <c r="Q8" s="9" t="s">
        <v>87</v>
      </c>
      <c r="R8" s="9" t="s">
        <v>88</v>
      </c>
      <c r="S8" s="9" t="s">
        <v>90</v>
      </c>
      <c r="T8" s="9" t="s">
        <v>52</v>
      </c>
    </row>
    <row r="9" ht="54.75" customHeight="1">
      <c r="A9" s="8">
        <v>46291.5</v>
      </c>
      <c r="B9" s="9" t="s">
        <v>94</v>
      </c>
      <c r="C9" s="9" t="s">
        <v>95</v>
      </c>
      <c r="D9" s="9" t="s">
        <v>31</v>
      </c>
      <c r="E9" s="9" t="s">
        <v>98</v>
      </c>
      <c r="F9" s="9" t="s">
        <v>35</v>
      </c>
      <c r="G9" s="9" t="s">
        <v>58</v>
      </c>
      <c r="H9" s="8" t="s">
        <v>36</v>
      </c>
      <c r="I9" s="10" t="str">
        <f>HYPERLINK("https://www.teamworkonline.com/basketball-jobs/pacers/pacers-sports-entertainment/corporate-partnerships-intern-spring-2026-2190521","View / apply")</f>
        <v>View / apply</v>
      </c>
      <c r="J9" s="9" t="s">
        <v>59</v>
      </c>
      <c r="K9" s="8" t="s">
        <v>36</v>
      </c>
      <c r="L9" s="9" t="s">
        <v>72</v>
      </c>
      <c r="M9" s="9" t="s">
        <v>102</v>
      </c>
      <c r="N9" s="8">
        <v>46291.5</v>
      </c>
      <c r="O9" s="9" t="s">
        <v>36</v>
      </c>
      <c r="P9" s="9" t="s">
        <v>104</v>
      </c>
      <c r="Q9" s="9" t="s">
        <v>105</v>
      </c>
      <c r="R9" s="9" t="s">
        <v>106</v>
      </c>
      <c r="S9" s="9" t="s">
        <v>108</v>
      </c>
      <c r="T9" s="9" t="s">
        <v>52</v>
      </c>
    </row>
    <row r="10" ht="42.0" customHeight="1">
      <c r="A10" s="8">
        <v>46291.5</v>
      </c>
      <c r="B10" s="9" t="s">
        <v>111</v>
      </c>
      <c r="C10" s="9" t="s">
        <v>114</v>
      </c>
      <c r="D10" s="9" t="s">
        <v>31</v>
      </c>
      <c r="E10" s="9" t="s">
        <v>115</v>
      </c>
      <c r="F10" s="9" t="s">
        <v>116</v>
      </c>
      <c r="G10" s="9" t="s">
        <v>36</v>
      </c>
      <c r="H10" s="8" t="s">
        <v>36</v>
      </c>
      <c r="I10" s="10" t="str">
        <f>HYPERLINK("https://www.teamworkonline.com/basketball-jobs/houston-rockets-jobs/houston-rockets/internship-community-relations-2190825","View / apply")</f>
        <v>View / apply</v>
      </c>
      <c r="J10" s="9" t="s">
        <v>59</v>
      </c>
      <c r="K10" s="8" t="s">
        <v>36</v>
      </c>
      <c r="L10" s="9" t="s">
        <v>72</v>
      </c>
      <c r="M10" s="9" t="s">
        <v>121</v>
      </c>
      <c r="N10" s="8">
        <v>46291.5</v>
      </c>
      <c r="O10" s="9" t="s">
        <v>36</v>
      </c>
      <c r="P10" s="9" t="s">
        <v>122</v>
      </c>
      <c r="Q10" s="9" t="s">
        <v>124</v>
      </c>
      <c r="R10" s="9" t="s">
        <v>125</v>
      </c>
      <c r="S10" s="9" t="s">
        <v>126</v>
      </c>
      <c r="T10" s="9" t="s">
        <v>52</v>
      </c>
    </row>
    <row r="11" ht="42.0" customHeight="1">
      <c r="A11" s="8">
        <v>46291.5</v>
      </c>
      <c r="B11" s="9" t="s">
        <v>131</v>
      </c>
      <c r="C11" s="9" t="s">
        <v>133</v>
      </c>
      <c r="D11" s="9" t="s">
        <v>31</v>
      </c>
      <c r="E11" s="9" t="s">
        <v>115</v>
      </c>
      <c r="F11" s="9" t="s">
        <v>116</v>
      </c>
      <c r="G11" s="9" t="s">
        <v>36</v>
      </c>
      <c r="H11" s="8" t="s">
        <v>36</v>
      </c>
      <c r="I11" s="10" t="str">
        <f>HYPERLINK("https://www.teamworkonline.com/basketball-jobs/houston-rockets-jobs/houston-rockets/internship-arena-marketing-2190836","View / apply")</f>
        <v>View / apply</v>
      </c>
      <c r="J11" s="9" t="s">
        <v>59</v>
      </c>
      <c r="K11" s="8" t="s">
        <v>36</v>
      </c>
      <c r="L11" s="9" t="s">
        <v>72</v>
      </c>
      <c r="M11" s="9" t="s">
        <v>40</v>
      </c>
      <c r="N11" s="8">
        <v>46291.5</v>
      </c>
      <c r="O11" s="9" t="s">
        <v>36</v>
      </c>
      <c r="P11" s="9" t="s">
        <v>138</v>
      </c>
      <c r="Q11" s="9" t="s">
        <v>140</v>
      </c>
      <c r="R11" s="9" t="s">
        <v>141</v>
      </c>
      <c r="S11" s="9" t="s">
        <v>142</v>
      </c>
      <c r="T11" s="9" t="s">
        <v>52</v>
      </c>
    </row>
    <row r="12" ht="42.0" customHeight="1">
      <c r="A12" s="8">
        <v>46291.5</v>
      </c>
      <c r="B12" s="9" t="s">
        <v>147</v>
      </c>
      <c r="C12" s="9" t="s">
        <v>114</v>
      </c>
      <c r="D12" s="9" t="s">
        <v>31</v>
      </c>
      <c r="E12" s="9" t="s">
        <v>115</v>
      </c>
      <c r="F12" s="9" t="s">
        <v>116</v>
      </c>
      <c r="G12" s="9" t="s">
        <v>36</v>
      </c>
      <c r="H12" s="8" t="s">
        <v>36</v>
      </c>
      <c r="I12" s="10" t="str">
        <f>HYPERLINK("https://www.teamworkonline.com/basketball-jobs/houston-rockets-jobs/houston-rockets/internship-corporate-partnerships-2190845","View / apply")</f>
        <v>View / apply</v>
      </c>
      <c r="J12" s="9" t="s">
        <v>59</v>
      </c>
      <c r="K12" s="8" t="s">
        <v>36</v>
      </c>
      <c r="L12" s="9" t="s">
        <v>72</v>
      </c>
      <c r="M12" s="9" t="s">
        <v>152</v>
      </c>
      <c r="N12" s="8">
        <v>46291.5</v>
      </c>
      <c r="O12" s="9" t="s">
        <v>36</v>
      </c>
      <c r="P12" s="9" t="s">
        <v>154</v>
      </c>
      <c r="Q12" s="9" t="s">
        <v>155</v>
      </c>
      <c r="R12" s="9" t="s">
        <v>157</v>
      </c>
      <c r="S12" s="9" t="s">
        <v>159</v>
      </c>
      <c r="T12" s="9" t="s">
        <v>52</v>
      </c>
    </row>
    <row r="13" ht="41.25" customHeight="1">
      <c r="A13" s="8">
        <v>46291.5</v>
      </c>
      <c r="B13" s="9" t="s">
        <v>162</v>
      </c>
      <c r="C13" s="9" t="s">
        <v>163</v>
      </c>
      <c r="D13" s="9" t="s">
        <v>31</v>
      </c>
      <c r="E13" s="9" t="s">
        <v>166</v>
      </c>
      <c r="F13" s="9" t="s">
        <v>168</v>
      </c>
      <c r="G13" s="9" t="s">
        <v>64</v>
      </c>
      <c r="H13" s="8" t="s">
        <v>36</v>
      </c>
      <c r="I13" s="10" t="str">
        <f>HYPERLINK("https://www.teamworkonline.com/soccer-jobs/dc-united/d-c--united/internship-brand-marketing-intern-spring-2027-2190786","View / apply")</f>
        <v>View / apply</v>
      </c>
      <c r="J13" s="9" t="s">
        <v>59</v>
      </c>
      <c r="K13" s="8" t="s">
        <v>36</v>
      </c>
      <c r="L13" s="9" t="s">
        <v>72</v>
      </c>
      <c r="M13" s="9" t="s">
        <v>40</v>
      </c>
      <c r="N13" s="8">
        <v>46291.5</v>
      </c>
      <c r="O13" s="9" t="s">
        <v>36</v>
      </c>
      <c r="P13" s="9" t="s">
        <v>171</v>
      </c>
      <c r="Q13" s="9" t="s">
        <v>173</v>
      </c>
      <c r="R13" s="9" t="s">
        <v>176</v>
      </c>
      <c r="S13" s="9" t="s">
        <v>178</v>
      </c>
      <c r="T13" s="9" t="s">
        <v>52</v>
      </c>
    </row>
    <row r="14" ht="60.0" customHeight="1">
      <c r="A14" s="8">
        <v>46291.5</v>
      </c>
      <c r="B14" s="9" t="s">
        <v>180</v>
      </c>
      <c r="C14" s="9" t="s">
        <v>182</v>
      </c>
      <c r="D14" s="9" t="s">
        <v>31</v>
      </c>
      <c r="E14" s="9" t="s">
        <v>36</v>
      </c>
      <c r="F14" s="9" t="s">
        <v>36</v>
      </c>
      <c r="G14" s="9" t="s">
        <v>36</v>
      </c>
      <c r="H14" s="8" t="s">
        <v>36</v>
      </c>
      <c r="I14" s="10" t="str">
        <f>HYPERLINK("https://www.corrigansports.com/2027-internship-application/","View / apply")</f>
        <v>View / apply</v>
      </c>
      <c r="J14" s="9" t="s">
        <v>185</v>
      </c>
      <c r="K14" s="8" t="s">
        <v>36</v>
      </c>
      <c r="L14" s="9" t="s">
        <v>72</v>
      </c>
      <c r="M14" s="9" t="s">
        <v>153</v>
      </c>
      <c r="N14" s="8">
        <v>46291.5</v>
      </c>
      <c r="O14" s="9" t="s">
        <v>36</v>
      </c>
      <c r="P14" s="9" t="s">
        <v>188</v>
      </c>
      <c r="Q14" s="9" t="s">
        <v>190</v>
      </c>
      <c r="R14" s="9" t="s">
        <v>191</v>
      </c>
      <c r="S14" s="9" t="s">
        <v>193</v>
      </c>
      <c r="T14" s="9" t="s">
        <v>52</v>
      </c>
    </row>
    <row r="15" ht="54.75" customHeight="1">
      <c r="A15" s="8">
        <v>46291.5</v>
      </c>
      <c r="B15" s="9" t="s">
        <v>195</v>
      </c>
      <c r="C15" s="9" t="s">
        <v>100</v>
      </c>
      <c r="D15" s="9" t="s">
        <v>31</v>
      </c>
      <c r="E15" s="9" t="s">
        <v>101</v>
      </c>
      <c r="F15" s="9" t="s">
        <v>57</v>
      </c>
      <c r="G15" s="9" t="s">
        <v>64</v>
      </c>
      <c r="H15" s="8" t="s">
        <v>36</v>
      </c>
      <c r="I15" s="10" t="str">
        <f>HYPERLINK("https://www.dickssportinggoods.jobs/job/merchandising-summer-2027-corporate-internship/coraopolis-pa/202608656/","View / apply")</f>
        <v>View / apply</v>
      </c>
      <c r="J15" s="9" t="s">
        <v>103</v>
      </c>
      <c r="K15" s="8">
        <v>46273.5</v>
      </c>
      <c r="L15" s="9" t="s">
        <v>72</v>
      </c>
      <c r="M15" s="9" t="s">
        <v>199</v>
      </c>
      <c r="N15" s="8">
        <v>46291.5</v>
      </c>
      <c r="O15" s="9" t="s">
        <v>36</v>
      </c>
      <c r="P15" s="9" t="s">
        <v>200</v>
      </c>
      <c r="Q15" s="9" t="s">
        <v>201</v>
      </c>
      <c r="R15" s="9" t="s">
        <v>202</v>
      </c>
      <c r="S15" s="9" t="s">
        <v>203</v>
      </c>
      <c r="T15" s="9" t="s">
        <v>52</v>
      </c>
    </row>
    <row r="16" ht="74.25" customHeight="1">
      <c r="A16" s="8">
        <v>46291.5</v>
      </c>
      <c r="B16" s="9" t="s">
        <v>207</v>
      </c>
      <c r="C16" s="9" t="s">
        <v>100</v>
      </c>
      <c r="D16" s="9" t="s">
        <v>31</v>
      </c>
      <c r="E16" s="9" t="s">
        <v>101</v>
      </c>
      <c r="F16" s="9" t="s">
        <v>57</v>
      </c>
      <c r="G16" s="9" t="s">
        <v>64</v>
      </c>
      <c r="H16" s="8" t="s">
        <v>36</v>
      </c>
      <c r="I16" s="10" t="str">
        <f>HYPERLINK("https://www.dickssportinggoods.jobs/job/product-management-summer-2027-corporate-internship-open-date-09-08-2026/coraopolis-pa/202608791/","View / apply")</f>
        <v>View / apply</v>
      </c>
      <c r="J16" s="9" t="s">
        <v>103</v>
      </c>
      <c r="K16" s="8">
        <v>46273.5</v>
      </c>
      <c r="L16" s="9" t="s">
        <v>72</v>
      </c>
      <c r="M16" s="9" t="s">
        <v>212</v>
      </c>
      <c r="N16" s="8">
        <v>46291.5</v>
      </c>
      <c r="O16" s="9" t="s">
        <v>36</v>
      </c>
      <c r="P16" s="9" t="s">
        <v>213</v>
      </c>
      <c r="Q16" s="9" t="s">
        <v>214</v>
      </c>
      <c r="R16" s="9" t="s">
        <v>215</v>
      </c>
      <c r="S16" s="9" t="s">
        <v>216</v>
      </c>
      <c r="T16" s="9" t="s">
        <v>52</v>
      </c>
    </row>
    <row r="17" ht="45.0" customHeight="1">
      <c r="A17" s="11">
        <v>46291.0</v>
      </c>
      <c r="B17" s="12" t="s">
        <v>220</v>
      </c>
      <c r="C17" s="12" t="s">
        <v>55</v>
      </c>
      <c r="D17" s="12" t="s">
        <v>31</v>
      </c>
      <c r="E17" s="12" t="s">
        <v>56</v>
      </c>
      <c r="F17" s="12" t="s">
        <v>57</v>
      </c>
      <c r="G17" s="12" t="s">
        <v>58</v>
      </c>
      <c r="H17" s="11">
        <v>46293.0</v>
      </c>
      <c r="I17" s="13" t="str">
        <f>HYPERLINK("https://www.teamworkonline.com/hockey-jobs/pittsburgh-penguins/pittsburgh-penguins/accounting-finance-internship-spring-2027-2186757","View / apply")</f>
        <v>View / apply</v>
      </c>
      <c r="J17" s="12" t="s">
        <v>59</v>
      </c>
      <c r="K17" s="12" t="s">
        <v>36</v>
      </c>
      <c r="L17" s="12" t="s">
        <v>39</v>
      </c>
      <c r="M17" s="12" t="s">
        <v>107</v>
      </c>
      <c r="N17" s="11">
        <v>46291.0</v>
      </c>
      <c r="O17" s="12" t="s">
        <v>65</v>
      </c>
      <c r="P17" s="12" t="s">
        <v>225</v>
      </c>
      <c r="Q17" s="12" t="s">
        <v>226</v>
      </c>
      <c r="R17" s="12" t="s">
        <v>227</v>
      </c>
      <c r="S17" s="12" t="s">
        <v>228</v>
      </c>
      <c r="T17" s="12" t="s">
        <v>52</v>
      </c>
    </row>
    <row r="18">
      <c r="A18" s="11">
        <v>46291.0</v>
      </c>
      <c r="B18" s="12" t="s">
        <v>233</v>
      </c>
      <c r="C18" s="12" t="s">
        <v>55</v>
      </c>
      <c r="D18" s="12" t="s">
        <v>31</v>
      </c>
      <c r="E18" s="12" t="s">
        <v>56</v>
      </c>
      <c r="F18" s="12" t="s">
        <v>57</v>
      </c>
      <c r="G18" s="12" t="s">
        <v>58</v>
      </c>
      <c r="H18" s="11">
        <v>46293.0</v>
      </c>
      <c r="I18" s="13" t="str">
        <f>HYPERLINK("https://www.teamworkonline.com/hockey-jobs/pittsburgh-penguins/pittsburgh-penguins/pittsburgh-penguins-foundation-community-relations-internship-spring-2027-2186756","View / apply")</f>
        <v>View / apply</v>
      </c>
      <c r="J18" s="12" t="s">
        <v>59</v>
      </c>
      <c r="K18" s="12" t="s">
        <v>36</v>
      </c>
      <c r="L18" s="12" t="s">
        <v>39</v>
      </c>
      <c r="M18" s="12" t="s">
        <v>121</v>
      </c>
      <c r="N18" s="11">
        <v>46291.0</v>
      </c>
      <c r="O18" s="12" t="s">
        <v>65</v>
      </c>
      <c r="P18" s="12" t="s">
        <v>241</v>
      </c>
      <c r="Q18" s="12" t="s">
        <v>243</v>
      </c>
      <c r="R18" s="12" t="s">
        <v>227</v>
      </c>
      <c r="S18" s="12" t="s">
        <v>244</v>
      </c>
      <c r="T18" s="12" t="s">
        <v>52</v>
      </c>
    </row>
    <row r="19">
      <c r="A19" s="11">
        <v>46291.0</v>
      </c>
      <c r="B19" s="12" t="s">
        <v>247</v>
      </c>
      <c r="C19" s="12" t="s">
        <v>55</v>
      </c>
      <c r="D19" s="12" t="s">
        <v>31</v>
      </c>
      <c r="E19" s="12" t="s">
        <v>56</v>
      </c>
      <c r="F19" s="12" t="s">
        <v>57</v>
      </c>
      <c r="G19" s="12" t="s">
        <v>58</v>
      </c>
      <c r="H19" s="11">
        <v>46293.0</v>
      </c>
      <c r="I19" s="13" t="str">
        <f>HYPERLINK("https://www.teamworkonline.com/hockey-jobs/pittsburgh-penguins/pittsburgh-penguins/event-hospitality-support-internship-spring-2027-2186755","View / apply")</f>
        <v>View / apply</v>
      </c>
      <c r="J19" s="12" t="s">
        <v>59</v>
      </c>
      <c r="K19" s="12" t="s">
        <v>36</v>
      </c>
      <c r="L19" s="12" t="s">
        <v>39</v>
      </c>
      <c r="M19" s="12" t="s">
        <v>153</v>
      </c>
      <c r="N19" s="11">
        <v>46291.0</v>
      </c>
      <c r="O19" s="12" t="s">
        <v>65</v>
      </c>
      <c r="P19" s="12" t="s">
        <v>241</v>
      </c>
      <c r="Q19" s="12" t="s">
        <v>255</v>
      </c>
      <c r="R19" s="12" t="s">
        <v>227</v>
      </c>
      <c r="S19" s="12" t="s">
        <v>256</v>
      </c>
      <c r="T19" s="12" t="s">
        <v>52</v>
      </c>
    </row>
    <row r="20">
      <c r="A20" s="11">
        <v>46291.0</v>
      </c>
      <c r="B20" s="12" t="s">
        <v>260</v>
      </c>
      <c r="C20" s="12" t="s">
        <v>55</v>
      </c>
      <c r="D20" s="12" t="s">
        <v>31</v>
      </c>
      <c r="E20" s="12" t="s">
        <v>56</v>
      </c>
      <c r="F20" s="12" t="s">
        <v>57</v>
      </c>
      <c r="G20" s="12" t="s">
        <v>58</v>
      </c>
      <c r="H20" s="11">
        <v>46293.0</v>
      </c>
      <c r="I20" s="13" t="str">
        <f>HYPERLINK("https://www.teamworkonline.com/hockey-jobs/pittsburgh-penguins/pittsburgh-penguins/ticket-sales-internship-spring-2027-2186748","View / apply")</f>
        <v>View / apply</v>
      </c>
      <c r="J20" s="12" t="s">
        <v>59</v>
      </c>
      <c r="K20" s="12" t="s">
        <v>36</v>
      </c>
      <c r="L20" s="12" t="s">
        <v>39</v>
      </c>
      <c r="M20" s="12" t="s">
        <v>139</v>
      </c>
      <c r="N20" s="11">
        <v>46291.0</v>
      </c>
      <c r="O20" s="12" t="s">
        <v>65</v>
      </c>
      <c r="P20" s="12" t="s">
        <v>241</v>
      </c>
      <c r="Q20" s="12" t="s">
        <v>266</v>
      </c>
      <c r="R20" s="12" t="s">
        <v>227</v>
      </c>
      <c r="S20" s="12" t="s">
        <v>268</v>
      </c>
      <c r="T20" s="12" t="s">
        <v>52</v>
      </c>
    </row>
    <row r="21" ht="15.75" customHeight="1">
      <c r="A21" s="11">
        <v>46291.0</v>
      </c>
      <c r="B21" s="12" t="s">
        <v>271</v>
      </c>
      <c r="C21" s="12" t="s">
        <v>55</v>
      </c>
      <c r="D21" s="12" t="s">
        <v>31</v>
      </c>
      <c r="E21" s="12" t="s">
        <v>56</v>
      </c>
      <c r="F21" s="12" t="s">
        <v>57</v>
      </c>
      <c r="G21" s="12" t="s">
        <v>58</v>
      </c>
      <c r="H21" s="11">
        <v>46293.0</v>
      </c>
      <c r="I21" s="13" t="str">
        <f>HYPERLINK("https://www.teamworkonline.com/hockey-jobs/pittsburgh-penguins/pittsburgh-penguins/corporate-partnerships-internship-spring-2027-2186743","View / apply")</f>
        <v>View / apply</v>
      </c>
      <c r="J21" s="12" t="s">
        <v>59</v>
      </c>
      <c r="K21" s="12" t="s">
        <v>36</v>
      </c>
      <c r="L21" s="12" t="s">
        <v>39</v>
      </c>
      <c r="M21" s="12" t="s">
        <v>102</v>
      </c>
      <c r="N21" s="11">
        <v>46291.0</v>
      </c>
      <c r="O21" s="12" t="s">
        <v>65</v>
      </c>
      <c r="P21" s="12" t="s">
        <v>241</v>
      </c>
      <c r="Q21" s="12" t="s">
        <v>266</v>
      </c>
      <c r="R21" s="12" t="s">
        <v>227</v>
      </c>
      <c r="S21" s="12" t="s">
        <v>279</v>
      </c>
      <c r="T21" s="12" t="s">
        <v>52</v>
      </c>
    </row>
    <row r="22" ht="15.75" customHeight="1">
      <c r="A22" s="11">
        <v>46291.0</v>
      </c>
      <c r="B22" s="12" t="s">
        <v>280</v>
      </c>
      <c r="C22" s="12" t="s">
        <v>55</v>
      </c>
      <c r="D22" s="12" t="s">
        <v>31</v>
      </c>
      <c r="E22" s="12" t="s">
        <v>56</v>
      </c>
      <c r="F22" s="12" t="s">
        <v>57</v>
      </c>
      <c r="G22" s="12" t="s">
        <v>58</v>
      </c>
      <c r="H22" s="11">
        <v>46293.0</v>
      </c>
      <c r="I22" s="13" t="str">
        <f>HYPERLINK("https://www.teamworkonline.com/hockey-jobs/pittsburgh-penguins/pittsburgh-penguins/media-relations-internship-spring-2027-2186739","View / apply")</f>
        <v>View / apply</v>
      </c>
      <c r="J22" s="12" t="s">
        <v>59</v>
      </c>
      <c r="K22" s="12" t="s">
        <v>36</v>
      </c>
      <c r="L22" s="12" t="s">
        <v>39</v>
      </c>
      <c r="M22" s="12" t="s">
        <v>41</v>
      </c>
      <c r="N22" s="11">
        <v>46291.0</v>
      </c>
      <c r="O22" s="12" t="s">
        <v>65</v>
      </c>
      <c r="P22" s="12" t="s">
        <v>241</v>
      </c>
      <c r="Q22" s="12" t="s">
        <v>287</v>
      </c>
      <c r="R22" s="12" t="s">
        <v>227</v>
      </c>
      <c r="S22" s="12" t="s">
        <v>290</v>
      </c>
      <c r="T22" s="12" t="s">
        <v>52</v>
      </c>
    </row>
    <row r="23" ht="15.75" customHeight="1">
      <c r="A23" s="11">
        <v>46291.0</v>
      </c>
      <c r="B23" s="12" t="s">
        <v>291</v>
      </c>
      <c r="C23" s="12" t="s">
        <v>55</v>
      </c>
      <c r="D23" s="12" t="s">
        <v>31</v>
      </c>
      <c r="E23" s="12" t="s">
        <v>56</v>
      </c>
      <c r="F23" s="12" t="s">
        <v>57</v>
      </c>
      <c r="G23" s="12" t="s">
        <v>58</v>
      </c>
      <c r="H23" s="11">
        <v>46293.0</v>
      </c>
      <c r="I23" s="13" t="str">
        <f>HYPERLINK("https://www.teamworkonline.com/hockey-jobs/pittsburgh-penguins/pittsburgh-penguins/penguins-radio-network-internship-spring-2027-2186797","View / apply")</f>
        <v>View / apply</v>
      </c>
      <c r="J23" s="12" t="s">
        <v>59</v>
      </c>
      <c r="K23" s="12" t="s">
        <v>36</v>
      </c>
      <c r="L23" s="12" t="s">
        <v>39</v>
      </c>
      <c r="M23" s="12" t="s">
        <v>41</v>
      </c>
      <c r="N23" s="11">
        <v>46291.0</v>
      </c>
      <c r="O23" s="12" t="s">
        <v>65</v>
      </c>
      <c r="P23" s="12" t="s">
        <v>297</v>
      </c>
      <c r="Q23" s="12" t="s">
        <v>298</v>
      </c>
      <c r="R23" s="12" t="s">
        <v>227</v>
      </c>
      <c r="S23" s="12" t="s">
        <v>299</v>
      </c>
      <c r="T23" s="12" t="s">
        <v>52</v>
      </c>
    </row>
    <row r="24" ht="15.75" customHeight="1">
      <c r="A24" s="11">
        <v>46291.0</v>
      </c>
      <c r="B24" s="12" t="s">
        <v>301</v>
      </c>
      <c r="C24" s="12" t="s">
        <v>114</v>
      </c>
      <c r="D24" s="12" t="s">
        <v>31</v>
      </c>
      <c r="E24" s="12" t="s">
        <v>115</v>
      </c>
      <c r="F24" s="12" t="s">
        <v>116</v>
      </c>
      <c r="G24" s="12" t="s">
        <v>36</v>
      </c>
      <c r="H24" s="12" t="s">
        <v>36</v>
      </c>
      <c r="I24" s="13" t="str">
        <f>HYPERLINK("https://www.teamworkonline.com/basketball-jobs/houston-rockets-jobs/houston-rockets/internship-corporate-strategy-2190843","View / apply")</f>
        <v>View / apply</v>
      </c>
      <c r="J24" s="12" t="s">
        <v>59</v>
      </c>
      <c r="K24" s="12" t="s">
        <v>36</v>
      </c>
      <c r="L24" s="12" t="s">
        <v>72</v>
      </c>
      <c r="M24" s="12" t="s">
        <v>152</v>
      </c>
      <c r="N24" s="11">
        <v>46291.0</v>
      </c>
      <c r="O24" s="12" t="s">
        <v>36</v>
      </c>
      <c r="P24" s="12" t="s">
        <v>310</v>
      </c>
      <c r="Q24" s="12" t="s">
        <v>311</v>
      </c>
      <c r="R24" s="12" t="s">
        <v>313</v>
      </c>
      <c r="S24" s="12" t="s">
        <v>314</v>
      </c>
      <c r="T24" s="12" t="s">
        <v>52</v>
      </c>
    </row>
    <row r="25" ht="15.75" customHeight="1">
      <c r="A25" s="11">
        <v>46291.0</v>
      </c>
      <c r="B25" s="12" t="s">
        <v>315</v>
      </c>
      <c r="C25" s="12" t="s">
        <v>316</v>
      </c>
      <c r="D25" s="12" t="s">
        <v>31</v>
      </c>
      <c r="E25" s="12" t="s">
        <v>317</v>
      </c>
      <c r="F25" s="12" t="s">
        <v>120</v>
      </c>
      <c r="G25" s="12" t="s">
        <v>36</v>
      </c>
      <c r="H25" s="12" t="s">
        <v>36</v>
      </c>
      <c r="I25" s="13" t="str">
        <f>HYPERLINK("https://www.teamworkonline.com/hockey-jobs/buffalosports/buffalo-sabres-29560/communications-intern-2190093","View / apply")</f>
        <v>View / apply</v>
      </c>
      <c r="J25" s="12" t="s">
        <v>59</v>
      </c>
      <c r="K25" s="12" t="s">
        <v>36</v>
      </c>
      <c r="L25" s="12" t="s">
        <v>72</v>
      </c>
      <c r="M25" s="12" t="s">
        <v>41</v>
      </c>
      <c r="N25" s="11">
        <v>46291.0</v>
      </c>
      <c r="O25" s="12" t="s">
        <v>324</v>
      </c>
      <c r="P25" s="12" t="s">
        <v>325</v>
      </c>
      <c r="Q25" s="12" t="s">
        <v>326</v>
      </c>
      <c r="R25" s="12" t="s">
        <v>328</v>
      </c>
      <c r="S25" s="12" t="s">
        <v>329</v>
      </c>
      <c r="T25" s="12" t="s">
        <v>52</v>
      </c>
    </row>
    <row r="26" ht="15.75" customHeight="1">
      <c r="A26" s="11">
        <v>46291.0</v>
      </c>
      <c r="B26" s="12" t="s">
        <v>330</v>
      </c>
      <c r="C26" s="12" t="s">
        <v>331</v>
      </c>
      <c r="D26" s="12" t="s">
        <v>31</v>
      </c>
      <c r="E26" s="12" t="s">
        <v>332</v>
      </c>
      <c r="F26" s="12" t="s">
        <v>57</v>
      </c>
      <c r="G26" s="12" t="s">
        <v>58</v>
      </c>
      <c r="H26" s="12" t="s">
        <v>36</v>
      </c>
      <c r="I26" s="13" t="str">
        <f>HYPERLINK("https://www.teamworkonline.com/arenas-facilities-jobs/comcast-spectacor/comcast-spectacor-jobs/spring-2027-crm-intern-2190302","View / apply")</f>
        <v>View / apply</v>
      </c>
      <c r="J26" s="12" t="s">
        <v>59</v>
      </c>
      <c r="K26" s="12" t="s">
        <v>36</v>
      </c>
      <c r="L26" s="12" t="s">
        <v>72</v>
      </c>
      <c r="M26" s="12" t="s">
        <v>123</v>
      </c>
      <c r="N26" s="11">
        <v>46291.0</v>
      </c>
      <c r="O26" s="12" t="s">
        <v>340</v>
      </c>
      <c r="P26" s="12" t="s">
        <v>342</v>
      </c>
      <c r="Q26" s="12" t="s">
        <v>343</v>
      </c>
      <c r="R26" s="12" t="s">
        <v>345</v>
      </c>
      <c r="S26" s="12" t="s">
        <v>346</v>
      </c>
      <c r="T26" s="12" t="s">
        <v>52</v>
      </c>
    </row>
    <row r="27" ht="15.75" customHeight="1">
      <c r="A27" s="11">
        <v>46291.0</v>
      </c>
      <c r="B27" s="12" t="s">
        <v>347</v>
      </c>
      <c r="C27" s="12" t="s">
        <v>348</v>
      </c>
      <c r="D27" s="12" t="s">
        <v>31</v>
      </c>
      <c r="E27" s="12" t="s">
        <v>349</v>
      </c>
      <c r="F27" s="12" t="s">
        <v>350</v>
      </c>
      <c r="G27" s="12" t="s">
        <v>58</v>
      </c>
      <c r="H27" s="12" t="s">
        <v>36</v>
      </c>
      <c r="I27" s="13" t="str">
        <f>HYPERLINK("https://www.teamworkonline.com/football-jobs/greenbay-packers-jobs/green-bay-packers-/human-resources-intern-pt-2190821","View / apply")</f>
        <v>View / apply</v>
      </c>
      <c r="J27" s="12" t="s">
        <v>59</v>
      </c>
      <c r="K27" s="12" t="s">
        <v>36</v>
      </c>
      <c r="L27" s="12" t="s">
        <v>72</v>
      </c>
      <c r="M27" s="12" t="s">
        <v>199</v>
      </c>
      <c r="N27" s="11">
        <v>46291.0</v>
      </c>
      <c r="O27" s="12" t="s">
        <v>85</v>
      </c>
      <c r="P27" s="12" t="s">
        <v>358</v>
      </c>
      <c r="Q27" s="12" t="s">
        <v>359</v>
      </c>
      <c r="R27" s="12" t="s">
        <v>361</v>
      </c>
      <c r="S27" s="12" t="s">
        <v>362</v>
      </c>
      <c r="T27" s="12" t="s">
        <v>52</v>
      </c>
    </row>
    <row r="28" ht="15.75" customHeight="1">
      <c r="A28" s="11">
        <v>46291.0</v>
      </c>
      <c r="B28" s="12" t="s">
        <v>364</v>
      </c>
      <c r="C28" s="12" t="s">
        <v>95</v>
      </c>
      <c r="D28" s="12" t="s">
        <v>31</v>
      </c>
      <c r="E28" s="12" t="s">
        <v>98</v>
      </c>
      <c r="F28" s="12" t="s">
        <v>35</v>
      </c>
      <c r="G28" s="12" t="s">
        <v>58</v>
      </c>
      <c r="H28" s="12" t="s">
        <v>36</v>
      </c>
      <c r="I28" s="13" t="str">
        <f>HYPERLINK("https://www.teamworkonline.com/basketball-jobs/pacers/pacers-sports-entertainment/indiana-pacers-basketball-analytics-intern-spring-2027-2190523","View / apply")</f>
        <v>View / apply</v>
      </c>
      <c r="J28" s="12" t="s">
        <v>59</v>
      </c>
      <c r="K28" s="12" t="s">
        <v>36</v>
      </c>
      <c r="L28" s="12" t="s">
        <v>72</v>
      </c>
      <c r="M28" s="12" t="s">
        <v>123</v>
      </c>
      <c r="N28" s="11">
        <v>46291.0</v>
      </c>
      <c r="O28" s="12" t="s">
        <v>36</v>
      </c>
      <c r="P28" s="12" t="s">
        <v>372</v>
      </c>
      <c r="Q28" s="12" t="s">
        <v>374</v>
      </c>
      <c r="R28" s="12" t="s">
        <v>376</v>
      </c>
      <c r="S28" s="12" t="s">
        <v>377</v>
      </c>
      <c r="T28" s="12" t="s">
        <v>52</v>
      </c>
    </row>
    <row r="29" ht="15.75" customHeight="1">
      <c r="A29" s="11">
        <v>46291.0</v>
      </c>
      <c r="B29" s="12" t="s">
        <v>378</v>
      </c>
      <c r="C29" s="12" t="s">
        <v>379</v>
      </c>
      <c r="D29" s="12" t="s">
        <v>31</v>
      </c>
      <c r="E29" s="12" t="s">
        <v>380</v>
      </c>
      <c r="F29" s="12" t="s">
        <v>312</v>
      </c>
      <c r="G29" s="12" t="s">
        <v>58</v>
      </c>
      <c r="H29" s="12" t="s">
        <v>36</v>
      </c>
      <c r="I29" s="13" t="str">
        <f>HYPERLINK("https://www.teamworkonline.com/basketball-jobs/phoenix-suns/phoenix-suns/intern-payroll-services-2190657","View / apply")</f>
        <v>View / apply</v>
      </c>
      <c r="J29" s="12" t="s">
        <v>59</v>
      </c>
      <c r="K29" s="12" t="s">
        <v>36</v>
      </c>
      <c r="L29" s="12" t="s">
        <v>72</v>
      </c>
      <c r="M29" s="12" t="s">
        <v>107</v>
      </c>
      <c r="N29" s="11">
        <v>46291.0</v>
      </c>
      <c r="O29" s="12" t="s">
        <v>36</v>
      </c>
      <c r="P29" s="12" t="s">
        <v>387</v>
      </c>
      <c r="Q29" s="12" t="s">
        <v>389</v>
      </c>
      <c r="R29" s="12" t="s">
        <v>390</v>
      </c>
      <c r="S29" s="12" t="s">
        <v>391</v>
      </c>
      <c r="T29" s="12" t="s">
        <v>52</v>
      </c>
    </row>
    <row r="30" ht="15.75" customHeight="1">
      <c r="A30" s="11">
        <v>46292.0</v>
      </c>
      <c r="B30" s="12" t="s">
        <v>392</v>
      </c>
      <c r="C30" s="12" t="s">
        <v>393</v>
      </c>
      <c r="D30" s="12" t="s">
        <v>31</v>
      </c>
      <c r="E30" s="12" t="s">
        <v>394</v>
      </c>
      <c r="F30" s="12" t="s">
        <v>237</v>
      </c>
      <c r="G30" s="12" t="s">
        <v>36</v>
      </c>
      <c r="H30" s="12" t="s">
        <v>36</v>
      </c>
      <c r="I30" s="13" t="str">
        <f>HYPERLINK("https://www.teamworkonline.com/baseball-jobs/unrivaledsports/sports-force-park-jobs/operations-intern-2191726","View / apply")</f>
        <v>View / apply</v>
      </c>
      <c r="J30" s="12" t="s">
        <v>59</v>
      </c>
      <c r="K30" s="12" t="s">
        <v>36</v>
      </c>
      <c r="L30" s="12" t="s">
        <v>72</v>
      </c>
      <c r="M30" s="12" t="s">
        <v>153</v>
      </c>
      <c r="N30" s="11">
        <v>46292.0</v>
      </c>
      <c r="O30" s="12" t="s">
        <v>401</v>
      </c>
      <c r="P30" s="12" t="s">
        <v>402</v>
      </c>
      <c r="Q30" s="12" t="s">
        <v>404</v>
      </c>
      <c r="R30" s="12" t="s">
        <v>405</v>
      </c>
      <c r="S30" s="12" t="s">
        <v>406</v>
      </c>
      <c r="T30" s="12" t="s">
        <v>52</v>
      </c>
    </row>
    <row r="31" ht="15.75" customHeight="1">
      <c r="A31" s="11">
        <v>46292.0</v>
      </c>
      <c r="B31" s="12" t="s">
        <v>407</v>
      </c>
      <c r="C31" s="12" t="s">
        <v>348</v>
      </c>
      <c r="D31" s="12" t="s">
        <v>31</v>
      </c>
      <c r="E31" s="12" t="s">
        <v>349</v>
      </c>
      <c r="F31" s="12" t="s">
        <v>350</v>
      </c>
      <c r="G31" s="12" t="s">
        <v>36</v>
      </c>
      <c r="H31" s="14">
        <v>46304.0</v>
      </c>
      <c r="I31" s="13" t="str">
        <f>HYPERLINK("https://www.teamworkonline.com/football-jobs/greenbay-packers-jobs/green-bay-packers-/community-outreach-intern-2191808","View / apply")</f>
        <v>View / apply</v>
      </c>
      <c r="J31" s="12" t="s">
        <v>59</v>
      </c>
      <c r="K31" s="12" t="s">
        <v>36</v>
      </c>
      <c r="L31" s="12" t="s">
        <v>72</v>
      </c>
      <c r="M31" s="12" t="s">
        <v>121</v>
      </c>
      <c r="N31" s="11">
        <v>46292.0</v>
      </c>
      <c r="O31" s="12" t="s">
        <v>85</v>
      </c>
      <c r="P31" s="12" t="s">
        <v>416</v>
      </c>
      <c r="Q31" s="12" t="s">
        <v>417</v>
      </c>
      <c r="R31" s="12" t="s">
        <v>405</v>
      </c>
      <c r="S31" s="12" t="s">
        <v>418</v>
      </c>
      <c r="T31" s="12" t="s">
        <v>52</v>
      </c>
    </row>
    <row r="32" ht="15.75" customHeight="1">
      <c r="A32" s="11">
        <v>46292.0</v>
      </c>
      <c r="B32" s="12" t="s">
        <v>419</v>
      </c>
      <c r="C32" s="12" t="s">
        <v>420</v>
      </c>
      <c r="D32" s="12" t="s">
        <v>31</v>
      </c>
      <c r="E32" s="12" t="s">
        <v>98</v>
      </c>
      <c r="F32" s="12" t="s">
        <v>35</v>
      </c>
      <c r="G32" s="12" t="s">
        <v>36</v>
      </c>
      <c r="H32" s="12" t="s">
        <v>36</v>
      </c>
      <c r="I32" s="13" t="str">
        <f>HYPERLINK("https://www.teamworkonline.com/motorsports-jobs/penske-entertainment/indianapolis-motor-speedway-jobs/external-affairs-community-engagement-intern-2027-season-2191547","View / apply")</f>
        <v>View / apply</v>
      </c>
      <c r="J32" s="12" t="s">
        <v>59</v>
      </c>
      <c r="K32" s="12" t="s">
        <v>36</v>
      </c>
      <c r="L32" s="12" t="s">
        <v>72</v>
      </c>
      <c r="M32" s="12" t="s">
        <v>121</v>
      </c>
      <c r="N32" s="11">
        <v>46292.0</v>
      </c>
      <c r="O32" s="12" t="s">
        <v>36</v>
      </c>
      <c r="P32" s="12" t="s">
        <v>426</v>
      </c>
      <c r="Q32" s="12" t="s">
        <v>427</v>
      </c>
      <c r="R32" s="12" t="s">
        <v>405</v>
      </c>
      <c r="S32" s="12" t="s">
        <v>428</v>
      </c>
      <c r="T32" s="12" t="s">
        <v>52</v>
      </c>
    </row>
    <row r="33" ht="15.75" customHeight="1">
      <c r="A33" s="11">
        <v>46292.0</v>
      </c>
      <c r="B33" s="12" t="s">
        <v>429</v>
      </c>
      <c r="C33" s="12" t="s">
        <v>430</v>
      </c>
      <c r="D33" s="12" t="s">
        <v>31</v>
      </c>
      <c r="E33" s="12" t="s">
        <v>431</v>
      </c>
      <c r="F33" s="12" t="s">
        <v>433</v>
      </c>
      <c r="G33" s="12" t="s">
        <v>36</v>
      </c>
      <c r="H33" s="12" t="s">
        <v>36</v>
      </c>
      <c r="I33" s="13" t="str">
        <f>HYPERLINK("https://www.teamworkonline.com/basketball-jobs/utah-jazz-jobs/utah-jazz/business-development-intern-partnerships-sales-operations-2191167","View / apply")</f>
        <v>View / apply</v>
      </c>
      <c r="J33" s="12" t="s">
        <v>59</v>
      </c>
      <c r="K33" s="12" t="s">
        <v>36</v>
      </c>
      <c r="L33" s="12" t="s">
        <v>72</v>
      </c>
      <c r="M33" s="12" t="s">
        <v>74</v>
      </c>
      <c r="N33" s="11">
        <v>46292.0</v>
      </c>
      <c r="O33" s="12" t="s">
        <v>36</v>
      </c>
      <c r="P33" s="12" t="s">
        <v>439</v>
      </c>
      <c r="Q33" s="12" t="s">
        <v>440</v>
      </c>
      <c r="R33" s="12" t="s">
        <v>405</v>
      </c>
      <c r="S33" s="12" t="s">
        <v>441</v>
      </c>
      <c r="T33" s="12" t="s">
        <v>52</v>
      </c>
    </row>
    <row r="34" ht="15.75" customHeight="1">
      <c r="A34" s="11">
        <v>46292.0</v>
      </c>
      <c r="B34" s="12" t="s">
        <v>442</v>
      </c>
      <c r="C34" s="12" t="s">
        <v>443</v>
      </c>
      <c r="D34" s="12" t="s">
        <v>31</v>
      </c>
      <c r="E34" s="12" t="s">
        <v>445</v>
      </c>
      <c r="F34" s="12" t="s">
        <v>289</v>
      </c>
      <c r="G34" s="12" t="s">
        <v>36</v>
      </c>
      <c r="H34" s="12" t="s">
        <v>36</v>
      </c>
      <c r="I34" s="13" t="str">
        <f>HYPERLINK("https://www.teamworkonline.com/hockey-jobs/hockeyjobs/st--louis-blues/intern-people-culture-human-resources-2191127","View / apply")</f>
        <v>View / apply</v>
      </c>
      <c r="J34" s="12" t="s">
        <v>59</v>
      </c>
      <c r="K34" s="12" t="s">
        <v>36</v>
      </c>
      <c r="L34" s="12" t="s">
        <v>72</v>
      </c>
      <c r="M34" s="12" t="s">
        <v>199</v>
      </c>
      <c r="N34" s="11">
        <v>46292.0</v>
      </c>
      <c r="O34" s="12" t="s">
        <v>453</v>
      </c>
      <c r="P34" s="12" t="s">
        <v>454</v>
      </c>
      <c r="Q34" s="12" t="s">
        <v>455</v>
      </c>
      <c r="R34" s="12" t="s">
        <v>405</v>
      </c>
      <c r="S34" s="12" t="s">
        <v>456</v>
      </c>
      <c r="T34" s="12" t="s">
        <v>52</v>
      </c>
    </row>
    <row r="35" ht="15.75" customHeight="1">
      <c r="A35" s="11">
        <v>46292.0</v>
      </c>
      <c r="B35" s="12" t="s">
        <v>457</v>
      </c>
      <c r="C35" s="12" t="s">
        <v>458</v>
      </c>
      <c r="D35" s="12" t="s">
        <v>31</v>
      </c>
      <c r="E35" s="12" t="s">
        <v>459</v>
      </c>
      <c r="F35" s="12" t="s">
        <v>57</v>
      </c>
      <c r="G35" s="12" t="s">
        <v>36</v>
      </c>
      <c r="H35" s="12" t="s">
        <v>36</v>
      </c>
      <c r="I35" s="13" t="str">
        <f>HYPERLINK("https://www.teamworkonline.com/baseball-jobs/atlanticleague/york-revolution-28508/2027-winter-college-credit-retail-intern-2191344","View / apply")</f>
        <v>View / apply</v>
      </c>
      <c r="J35" s="12" t="s">
        <v>59</v>
      </c>
      <c r="K35" s="12" t="s">
        <v>36</v>
      </c>
      <c r="L35" s="12" t="s">
        <v>72</v>
      </c>
      <c r="M35" s="12" t="s">
        <v>199</v>
      </c>
      <c r="N35" s="11">
        <v>46292.0</v>
      </c>
      <c r="O35" s="12" t="s">
        <v>465</v>
      </c>
      <c r="P35" s="12" t="s">
        <v>466</v>
      </c>
      <c r="Q35" s="12" t="s">
        <v>467</v>
      </c>
      <c r="R35" s="12" t="s">
        <v>405</v>
      </c>
      <c r="S35" s="12" t="s">
        <v>468</v>
      </c>
      <c r="T35" s="12" t="s">
        <v>52</v>
      </c>
    </row>
    <row r="36" ht="15.75" customHeight="1">
      <c r="A36" s="11">
        <v>46292.0</v>
      </c>
      <c r="B36" s="12" t="s">
        <v>469</v>
      </c>
      <c r="C36" s="12" t="s">
        <v>470</v>
      </c>
      <c r="D36" s="12" t="s">
        <v>31</v>
      </c>
      <c r="E36" s="12" t="s">
        <v>471</v>
      </c>
      <c r="F36" s="12" t="s">
        <v>35</v>
      </c>
      <c r="G36" s="12" t="s">
        <v>36</v>
      </c>
      <c r="H36" s="12" t="s">
        <v>36</v>
      </c>
      <c r="I36" s="13" t="str">
        <f>HYPERLINK("https://www.teamworkonline.com/baseball-jobs/prep-baseball-jobs/grand-park-sports-entertainment-jobs/spring-2027-internal-programming-intern-2190591","View / apply")</f>
        <v>View / apply</v>
      </c>
      <c r="J36" s="12" t="s">
        <v>59</v>
      </c>
      <c r="K36" s="12" t="s">
        <v>36</v>
      </c>
      <c r="L36" s="12" t="s">
        <v>72</v>
      </c>
      <c r="M36" s="12" t="s">
        <v>333</v>
      </c>
      <c r="N36" s="11">
        <v>46292.0</v>
      </c>
      <c r="O36" s="12" t="s">
        <v>476</v>
      </c>
      <c r="P36" s="12" t="s">
        <v>478</v>
      </c>
      <c r="Q36" s="12" t="s">
        <v>480</v>
      </c>
      <c r="R36" s="12" t="s">
        <v>405</v>
      </c>
      <c r="S36" s="12" t="s">
        <v>482</v>
      </c>
      <c r="T36" s="12" t="s">
        <v>52</v>
      </c>
    </row>
    <row r="37" ht="15.75" customHeight="1">
      <c r="A37" s="11">
        <v>46292.0</v>
      </c>
      <c r="B37" s="12" t="s">
        <v>483</v>
      </c>
      <c r="C37" s="12" t="s">
        <v>484</v>
      </c>
      <c r="D37" s="12" t="s">
        <v>31</v>
      </c>
      <c r="E37" s="12" t="s">
        <v>485</v>
      </c>
      <c r="F37" s="12" t="s">
        <v>116</v>
      </c>
      <c r="G37" s="12" t="s">
        <v>36</v>
      </c>
      <c r="H37" s="12" t="s">
        <v>36</v>
      </c>
      <c r="I37" s="13" t="str">
        <f>HYPERLINK("https://www.teamworkonline.com/football-jobs/dallascowboys/dallas-cowboys-29704/marketing-intern-the-star-district-2191303","View / apply")</f>
        <v>View / apply</v>
      </c>
      <c r="J37" s="12" t="s">
        <v>59</v>
      </c>
      <c r="K37" s="12" t="s">
        <v>36</v>
      </c>
      <c r="L37" s="12" t="s">
        <v>72</v>
      </c>
      <c r="M37" s="12" t="s">
        <v>40</v>
      </c>
      <c r="N37" s="11">
        <v>46292.0</v>
      </c>
      <c r="O37" s="12" t="s">
        <v>36</v>
      </c>
      <c r="P37" s="12" t="s">
        <v>489</v>
      </c>
      <c r="Q37" s="12" t="s">
        <v>490</v>
      </c>
      <c r="R37" s="12" t="s">
        <v>405</v>
      </c>
      <c r="S37" s="12" t="s">
        <v>491</v>
      </c>
      <c r="T37" s="12" t="s">
        <v>52</v>
      </c>
    </row>
    <row r="38" ht="15.75" customHeight="1">
      <c r="A38" s="11">
        <v>46292.0</v>
      </c>
      <c r="B38" s="12" t="s">
        <v>494</v>
      </c>
      <c r="C38" s="12" t="s">
        <v>420</v>
      </c>
      <c r="D38" s="12" t="s">
        <v>31</v>
      </c>
      <c r="E38" s="12" t="s">
        <v>98</v>
      </c>
      <c r="F38" s="12" t="s">
        <v>35</v>
      </c>
      <c r="G38" s="12" t="s">
        <v>36</v>
      </c>
      <c r="H38" s="12" t="s">
        <v>36</v>
      </c>
      <c r="I38" s="13" t="str">
        <f>HYPERLINK("https://www.teamworkonline.com/motorsports-jobs/penske-entertainment/indianapolis-motor-speedway-jobs/guest-experience-administration-intern-2027-season-2190739","View / apply")</f>
        <v>View / apply</v>
      </c>
      <c r="J38" s="12" t="s">
        <v>59</v>
      </c>
      <c r="K38" s="12" t="s">
        <v>36</v>
      </c>
      <c r="L38" s="12" t="s">
        <v>72</v>
      </c>
      <c r="M38" s="12" t="s">
        <v>153</v>
      </c>
      <c r="N38" s="11">
        <v>46292.0</v>
      </c>
      <c r="O38" s="12" t="s">
        <v>36</v>
      </c>
      <c r="P38" s="12" t="s">
        <v>495</v>
      </c>
      <c r="Q38" s="12" t="s">
        <v>496</v>
      </c>
      <c r="R38" s="12" t="s">
        <v>405</v>
      </c>
      <c r="S38" s="12" t="s">
        <v>498</v>
      </c>
      <c r="T38" s="12" t="s">
        <v>52</v>
      </c>
    </row>
    <row r="39" ht="15.75" customHeight="1">
      <c r="A39" s="11">
        <v>46292.0</v>
      </c>
      <c r="B39" s="12" t="s">
        <v>501</v>
      </c>
      <c r="C39" s="12" t="s">
        <v>458</v>
      </c>
      <c r="D39" s="12" t="s">
        <v>31</v>
      </c>
      <c r="E39" s="12" t="s">
        <v>459</v>
      </c>
      <c r="F39" s="12" t="s">
        <v>57</v>
      </c>
      <c r="G39" s="12" t="s">
        <v>36</v>
      </c>
      <c r="H39" s="12" t="s">
        <v>36</v>
      </c>
      <c r="I39" s="13" t="str">
        <f>HYPERLINK("https://www.teamworkonline.com/baseball-jobs/atlanticleague/york-revolution-28508/2027-full-time-partnership-activation-intern-york-revolution-2191254","View / apply")</f>
        <v>View / apply</v>
      </c>
      <c r="J39" s="12" t="s">
        <v>59</v>
      </c>
      <c r="K39" s="12" t="s">
        <v>36</v>
      </c>
      <c r="L39" s="12" t="s">
        <v>72</v>
      </c>
      <c r="M39" s="12" t="s">
        <v>102</v>
      </c>
      <c r="N39" s="11">
        <v>46292.0</v>
      </c>
      <c r="O39" s="12" t="s">
        <v>505</v>
      </c>
      <c r="P39" s="12" t="s">
        <v>506</v>
      </c>
      <c r="Q39" s="12" t="s">
        <v>507</v>
      </c>
      <c r="R39" s="12" t="s">
        <v>405</v>
      </c>
      <c r="S39" s="12" t="s">
        <v>509</v>
      </c>
      <c r="T39" s="12" t="s">
        <v>52</v>
      </c>
    </row>
    <row r="40" ht="15.75" customHeight="1">
      <c r="A40" s="11">
        <v>46292.0</v>
      </c>
      <c r="B40" s="12" t="s">
        <v>512</v>
      </c>
      <c r="C40" s="12" t="s">
        <v>95</v>
      </c>
      <c r="D40" s="12" t="s">
        <v>31</v>
      </c>
      <c r="E40" s="12" t="s">
        <v>98</v>
      </c>
      <c r="F40" s="12" t="s">
        <v>35</v>
      </c>
      <c r="G40" s="12" t="s">
        <v>58</v>
      </c>
      <c r="H40" s="12" t="s">
        <v>36</v>
      </c>
      <c r="I40" s="13" t="str">
        <f>HYPERLINK("https://www.teamworkonline.com/basketball-jobs/pacers/pacers-sports-entertainment/digital-content-intern-spring-2027-2190932","View / apply")</f>
        <v>View / apply</v>
      </c>
      <c r="J40" s="12" t="s">
        <v>59</v>
      </c>
      <c r="K40" s="12" t="s">
        <v>36</v>
      </c>
      <c r="L40" s="12" t="s">
        <v>72</v>
      </c>
      <c r="M40" s="12" t="s">
        <v>63</v>
      </c>
      <c r="N40" s="11">
        <v>46292.0</v>
      </c>
      <c r="O40" s="12" t="s">
        <v>36</v>
      </c>
      <c r="P40" s="12" t="s">
        <v>515</v>
      </c>
      <c r="Q40" s="12" t="s">
        <v>516</v>
      </c>
      <c r="R40" s="12" t="s">
        <v>405</v>
      </c>
      <c r="S40" s="12" t="s">
        <v>517</v>
      </c>
      <c r="T40" s="12" t="s">
        <v>52</v>
      </c>
    </row>
    <row r="41" ht="15.75" customHeight="1">
      <c r="A41" s="11">
        <v>46292.0</v>
      </c>
      <c r="B41" s="12" t="s">
        <v>520</v>
      </c>
      <c r="C41" s="12" t="s">
        <v>521</v>
      </c>
      <c r="D41" s="12" t="s">
        <v>31</v>
      </c>
      <c r="E41" s="12" t="s">
        <v>523</v>
      </c>
      <c r="F41" s="12" t="s">
        <v>524</v>
      </c>
      <c r="G41" s="12" t="s">
        <v>64</v>
      </c>
      <c r="H41" s="12" t="s">
        <v>36</v>
      </c>
      <c r="I41" s="13" t="str">
        <f>HYPERLINK("https://www.teamworkonline.com/other-sports-jobs/UFA-jobs/Chicago-Union-Jobs/sports-video-editing-intern-2190988","View / apply")</f>
        <v>View / apply</v>
      </c>
      <c r="J41" s="12" t="s">
        <v>59</v>
      </c>
      <c r="K41" s="12" t="s">
        <v>36</v>
      </c>
      <c r="L41" s="12" t="s">
        <v>72</v>
      </c>
      <c r="M41" s="12" t="s">
        <v>63</v>
      </c>
      <c r="N41" s="11">
        <v>46292.0</v>
      </c>
      <c r="O41" s="12" t="s">
        <v>36</v>
      </c>
      <c r="P41" s="12" t="s">
        <v>528</v>
      </c>
      <c r="Q41" s="12" t="s">
        <v>529</v>
      </c>
      <c r="R41" s="12" t="s">
        <v>530</v>
      </c>
      <c r="S41" s="12" t="s">
        <v>531</v>
      </c>
      <c r="T41" s="12" t="s">
        <v>52</v>
      </c>
    </row>
    <row r="42" ht="15.75" customHeight="1">
      <c r="A42" s="11">
        <v>46292.0</v>
      </c>
      <c r="B42" s="12" t="s">
        <v>532</v>
      </c>
      <c r="C42" s="12" t="s">
        <v>420</v>
      </c>
      <c r="D42" s="12" t="s">
        <v>31</v>
      </c>
      <c r="E42" s="12" t="s">
        <v>98</v>
      </c>
      <c r="F42" s="12" t="s">
        <v>35</v>
      </c>
      <c r="G42" s="12" t="s">
        <v>36</v>
      </c>
      <c r="H42" s="12" t="s">
        <v>36</v>
      </c>
      <c r="I42" s="13" t="str">
        <f>HYPERLINK("https://www.teamworkonline.com/motorsports-jobs/penske-entertainment/indianapolis-motor-speedway-jobs/ticket-operations-intern-2027-season-2190721","View / apply")</f>
        <v>View / apply</v>
      </c>
      <c r="J42" s="12" t="s">
        <v>59</v>
      </c>
      <c r="K42" s="12" t="s">
        <v>36</v>
      </c>
      <c r="L42" s="12" t="s">
        <v>72</v>
      </c>
      <c r="M42" s="12" t="s">
        <v>139</v>
      </c>
      <c r="N42" s="11">
        <v>46292.0</v>
      </c>
      <c r="O42" s="12" t="s">
        <v>36</v>
      </c>
      <c r="P42" s="12" t="s">
        <v>540</v>
      </c>
      <c r="Q42" s="12" t="s">
        <v>541</v>
      </c>
      <c r="R42" s="12" t="s">
        <v>405</v>
      </c>
      <c r="S42" s="12" t="s">
        <v>542</v>
      </c>
      <c r="T42" s="12" t="s">
        <v>52</v>
      </c>
    </row>
    <row r="43" ht="15.75" customHeight="1">
      <c r="A43" s="11">
        <v>46292.0</v>
      </c>
      <c r="B43" s="12" t="s">
        <v>543</v>
      </c>
      <c r="C43" s="12" t="s">
        <v>420</v>
      </c>
      <c r="D43" s="12" t="s">
        <v>31</v>
      </c>
      <c r="E43" s="12" t="s">
        <v>98</v>
      </c>
      <c r="F43" s="12" t="s">
        <v>35</v>
      </c>
      <c r="G43" s="12" t="s">
        <v>36</v>
      </c>
      <c r="H43" s="12" t="s">
        <v>36</v>
      </c>
      <c r="I43" s="13" t="str">
        <f>HYPERLINK("https://www.teamworkonline.com/motorsports-jobs/penske-entertainment/indianapolis-motor-speedway-jobs/guest-experience-programs-intern-2027-season-2190740","View / apply")</f>
        <v>View / apply</v>
      </c>
      <c r="J43" s="12" t="s">
        <v>59</v>
      </c>
      <c r="K43" s="12" t="s">
        <v>36</v>
      </c>
      <c r="L43" s="12" t="s">
        <v>72</v>
      </c>
      <c r="M43" s="12" t="s">
        <v>153</v>
      </c>
      <c r="N43" s="11">
        <v>46292.0</v>
      </c>
      <c r="O43" s="12" t="s">
        <v>36</v>
      </c>
      <c r="P43" s="12" t="s">
        <v>495</v>
      </c>
      <c r="Q43" s="12" t="s">
        <v>553</v>
      </c>
      <c r="R43" s="12" t="s">
        <v>405</v>
      </c>
      <c r="S43" s="12" t="s">
        <v>554</v>
      </c>
      <c r="T43" s="12" t="s">
        <v>52</v>
      </c>
    </row>
    <row r="44" ht="15.75" customHeight="1">
      <c r="A44" s="11">
        <v>46292.0</v>
      </c>
      <c r="B44" s="12" t="s">
        <v>555</v>
      </c>
      <c r="C44" s="12" t="s">
        <v>556</v>
      </c>
      <c r="D44" s="12" t="s">
        <v>31</v>
      </c>
      <c r="E44" s="12" t="s">
        <v>98</v>
      </c>
      <c r="F44" s="12" t="s">
        <v>35</v>
      </c>
      <c r="G44" s="12" t="s">
        <v>36</v>
      </c>
      <c r="H44" s="12" t="s">
        <v>36</v>
      </c>
      <c r="I44" s="13" t="str">
        <f>HYPERLINK("https://www.teamworkonline.com/motorsports-jobs/penske-entertainment/indy-car-jobs/credentials-representative-intern-indycar-ims-2027-season-2190722","View / apply")</f>
        <v>View / apply</v>
      </c>
      <c r="J44" s="12" t="s">
        <v>59</v>
      </c>
      <c r="K44" s="12" t="s">
        <v>36</v>
      </c>
      <c r="L44" s="12" t="s">
        <v>72</v>
      </c>
      <c r="M44" s="12" t="s">
        <v>84</v>
      </c>
      <c r="N44" s="11">
        <v>46292.0</v>
      </c>
      <c r="O44" s="12" t="s">
        <v>36</v>
      </c>
      <c r="P44" s="12" t="s">
        <v>36</v>
      </c>
      <c r="Q44" s="12" t="s">
        <v>562</v>
      </c>
      <c r="R44" s="12" t="s">
        <v>405</v>
      </c>
      <c r="S44" s="12" t="s">
        <v>563</v>
      </c>
      <c r="T44" s="12" t="s">
        <v>52</v>
      </c>
    </row>
    <row r="45" ht="15.75" customHeight="1">
      <c r="A45" s="11">
        <v>46292.0</v>
      </c>
      <c r="B45" s="12" t="s">
        <v>564</v>
      </c>
      <c r="C45" s="12" t="s">
        <v>565</v>
      </c>
      <c r="D45" s="12" t="s">
        <v>31</v>
      </c>
      <c r="E45" s="12" t="s">
        <v>566</v>
      </c>
      <c r="F45" s="12" t="s">
        <v>415</v>
      </c>
      <c r="G45" s="12" t="s">
        <v>36</v>
      </c>
      <c r="H45" s="12" t="s">
        <v>36</v>
      </c>
      <c r="I45" s="13" t="str">
        <f>HYPERLINK("https://www.teamworkonline.com/baseball-jobs/App-league-jobs/Danville-Otterbots-Jobs/graphic-design-intern-2191083","View / apply")</f>
        <v>View / apply</v>
      </c>
      <c r="J45" s="12" t="s">
        <v>59</v>
      </c>
      <c r="K45" s="12" t="s">
        <v>36</v>
      </c>
      <c r="L45" s="12" t="s">
        <v>72</v>
      </c>
      <c r="M45" s="12" t="s">
        <v>40</v>
      </c>
      <c r="N45" s="11">
        <v>46292.0</v>
      </c>
      <c r="O45" s="12" t="s">
        <v>36</v>
      </c>
      <c r="P45" s="12" t="s">
        <v>571</v>
      </c>
      <c r="Q45" s="12" t="s">
        <v>572</v>
      </c>
      <c r="R45" s="12" t="s">
        <v>573</v>
      </c>
      <c r="S45" s="12" t="s">
        <v>574</v>
      </c>
      <c r="T45" s="12" t="s">
        <v>52</v>
      </c>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61B9B5E2-A561-4533-AD5B-78B21FE3756B}" filter="1" showAutoFilter="1">
      <autoFilter ref="$A$5:$T$45"/>
    </customSheetView>
  </customSheetViews>
  <mergeCells count="2">
    <mergeCell ref="A1:H2"/>
    <mergeCell ref="A4:H4"/>
  </mergeCells>
  <conditionalFormatting sqref="L6:L16">
    <cfRule type="containsText" dxfId="6" priority="1" operator="containsText" text="New">
      <formula>NOT(ISERROR(SEARCH(("New"),(L6))))</formula>
    </cfRule>
  </conditionalFormatting>
  <conditionalFormatting sqref="L6:L16">
    <cfRule type="containsText" dxfId="7" priority="2" operator="containsText" text="Closing Soon">
      <formula>NOT(ISERROR(SEARCH(("Closing Soon"),(L6))))</formula>
    </cfRule>
  </conditionalFormatting>
  <conditionalFormatting sqref="L6:L16">
    <cfRule type="containsText" dxfId="8" priority="3" operator="containsText" text="Closed">
      <formula>NOT(ISERROR(SEARCH(("Closed"),(L6))))</formula>
    </cfRule>
  </conditionalFormatting>
  <conditionalFormatting sqref="L6:L16">
    <cfRule type="containsText" dxfId="9" priority="4" operator="containsText" text="Previously Listed">
      <formula>NOT(ISERROR(SEARCH(("Previously Listed"),(L6))))</formula>
    </cfRule>
  </conditionalFormatting>
  <conditionalFormatting sqref="B18">
    <cfRule type="notContainsBlanks" dxfId="10" priority="5">
      <formula>LEN(TRIM(B18))&gt;0</formula>
    </cfRule>
  </conditionalFormatting>
  <dataValidations>
    <dataValidation type="list" allowBlank="1" sqref="G6:G45">
      <formula1>"Remote,Hybrid,On-Site,Not listed"</formula1>
    </dataValidation>
    <dataValidation type="list" allowBlank="1" sqref="L6:L45">
      <formula1>"New,Previously Listed,Closing Soon,Closed"</formula1>
    </dataValidation>
  </dataValidations>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F766E"/>
    <pageSetUpPr/>
  </sheetPr>
  <sheetViews>
    <sheetView showGridLines="0" workbookViewId="0">
      <pane xSplit="3.0" ySplit="5.0" topLeftCell="D6" activePane="bottomRight" state="frozen"/>
      <selection activeCell="D1" sqref="D1" pane="topRight"/>
      <selection activeCell="A6" sqref="A6" pane="bottomLeft"/>
      <selection activeCell="D6" sqref="D6" pane="bottomRight"/>
    </sheetView>
  </sheetViews>
  <sheetFormatPr customHeight="1" defaultColWidth="12.63" defaultRowHeight="15.0"/>
  <cols>
    <col customWidth="1" min="1" max="1" width="11.75"/>
    <col customWidth="1" min="2" max="2" width="22.5"/>
    <col customWidth="1" min="3" max="3" width="21.38"/>
    <col customWidth="1" min="4" max="4" width="17.0"/>
    <col customWidth="1" min="5" max="5" width="20.0"/>
    <col customWidth="1" min="6" max="6" width="10.0"/>
    <col customWidth="1" min="7" max="7" width="20.0"/>
    <col customWidth="1" min="8" max="8" width="17.0"/>
    <col customWidth="1" min="9" max="9" width="18.0"/>
    <col customWidth="1" min="10" max="10" width="29.0"/>
    <col customWidth="1" min="11" max="11" width="14.0"/>
    <col customWidth="1" min="12" max="12" width="19.0"/>
    <col customWidth="1" min="13" max="13" width="30.0"/>
    <col customWidth="1" min="14" max="14" width="14.0"/>
    <col customWidth="1" min="15" max="15" width="35.0"/>
    <col customWidth="1" min="16" max="16" width="53.0"/>
    <col customWidth="1" min="17" max="17" width="48.0"/>
    <col customWidth="1" min="18" max="18" width="66.0"/>
    <col customWidth="1" min="19" max="19" width="28.0"/>
    <col customWidth="1" min="20" max="20" width="16.0"/>
    <col customWidth="1" min="21" max="26" width="8.63"/>
  </cols>
  <sheetData>
    <row r="1" ht="22.5" customHeight="1">
      <c r="A1" s="2" t="s">
        <v>2</v>
      </c>
      <c r="I1" s="3"/>
      <c r="J1" s="3"/>
      <c r="K1" s="3"/>
      <c r="L1" s="3"/>
      <c r="M1" s="3"/>
      <c r="N1" s="3"/>
      <c r="O1" s="3"/>
      <c r="P1" s="3"/>
      <c r="Q1" s="3"/>
      <c r="R1" s="3"/>
      <c r="S1" s="3"/>
      <c r="T1" s="3"/>
    </row>
    <row r="2" ht="22.5" customHeight="1">
      <c r="I2" s="3"/>
      <c r="J2" s="3"/>
      <c r="K2" s="3"/>
      <c r="L2" s="3"/>
      <c r="M2" s="3"/>
      <c r="N2" s="3"/>
      <c r="O2" s="3"/>
      <c r="P2" s="3"/>
      <c r="Q2" s="3"/>
      <c r="R2" s="3"/>
      <c r="S2" s="3"/>
      <c r="T2" s="3"/>
    </row>
    <row r="3" ht="30.0" customHeight="1">
      <c r="A3" s="4" t="s">
        <v>3</v>
      </c>
      <c r="B3" s="4">
        <f>COUNTA(S6:S45)</f>
        <v>40</v>
      </c>
      <c r="C3" s="4" t="s">
        <v>4</v>
      </c>
      <c r="D3" s="4">
        <f>COUNTIF(L6:L45,"Closing Soon")</f>
        <v>1</v>
      </c>
      <c r="E3" s="4" t="s">
        <v>5</v>
      </c>
      <c r="F3" s="5">
        <v>46292.0</v>
      </c>
      <c r="G3" s="4"/>
      <c r="H3" s="4"/>
      <c r="I3" s="3"/>
      <c r="J3" s="3"/>
      <c r="K3" s="3"/>
      <c r="L3" s="3"/>
      <c r="M3" s="3"/>
      <c r="N3" s="3"/>
      <c r="O3" s="3"/>
      <c r="P3" s="3"/>
      <c r="Q3" s="3"/>
      <c r="R3" s="3"/>
      <c r="S3" s="3"/>
      <c r="T3" s="3"/>
    </row>
    <row r="4" ht="27.75" customHeight="1">
      <c r="A4" s="3" t="s">
        <v>6</v>
      </c>
      <c r="I4" s="3"/>
      <c r="J4" s="3"/>
      <c r="K4" s="3"/>
      <c r="L4" s="3"/>
      <c r="M4" s="3"/>
      <c r="N4" s="3"/>
      <c r="O4" s="3"/>
      <c r="P4" s="3"/>
      <c r="Q4" s="3"/>
      <c r="R4" s="3"/>
      <c r="S4" s="3"/>
      <c r="T4" s="3"/>
    </row>
    <row r="5" ht="42.0" customHeight="1">
      <c r="A5" s="6" t="s">
        <v>7</v>
      </c>
      <c r="B5" s="6" t="s">
        <v>8</v>
      </c>
      <c r="C5" s="6" t="s">
        <v>9</v>
      </c>
      <c r="D5" s="6" t="s">
        <v>10</v>
      </c>
      <c r="E5" s="6" t="s">
        <v>11</v>
      </c>
      <c r="F5" s="6" t="s">
        <v>12</v>
      </c>
      <c r="G5" s="6" t="s">
        <v>13</v>
      </c>
      <c r="H5" s="6" t="s">
        <v>14</v>
      </c>
      <c r="I5" s="6" t="s">
        <v>15</v>
      </c>
      <c r="J5" s="6" t="s">
        <v>16</v>
      </c>
      <c r="K5" s="6" t="s">
        <v>17</v>
      </c>
      <c r="L5" s="6" t="s">
        <v>18</v>
      </c>
      <c r="M5" s="6" t="s">
        <v>19</v>
      </c>
      <c r="N5" s="6" t="s">
        <v>20</v>
      </c>
      <c r="O5" s="6" t="s">
        <v>21</v>
      </c>
      <c r="P5" s="6" t="s">
        <v>22</v>
      </c>
      <c r="Q5" s="6" t="s">
        <v>23</v>
      </c>
      <c r="R5" s="6" t="s">
        <v>24</v>
      </c>
      <c r="S5" s="6" t="s">
        <v>25</v>
      </c>
      <c r="T5" s="6" t="s">
        <v>26</v>
      </c>
    </row>
    <row r="6" ht="99.75" customHeight="1">
      <c r="A6" s="8">
        <v>46291.5</v>
      </c>
      <c r="B6" s="9" t="s">
        <v>27</v>
      </c>
      <c r="C6" s="9" t="s">
        <v>29</v>
      </c>
      <c r="D6" s="9" t="s">
        <v>32</v>
      </c>
      <c r="E6" s="9" t="s">
        <v>34</v>
      </c>
      <c r="F6" s="9" t="s">
        <v>35</v>
      </c>
      <c r="G6" s="9" t="s">
        <v>36</v>
      </c>
      <c r="H6" s="8">
        <v>46296.5</v>
      </c>
      <c r="I6" s="10" t="str">
        <f>HYPERLINK("https://jobs.indstate.edu/postings/57761","View / apply")</f>
        <v>View / apply</v>
      </c>
      <c r="J6" s="9" t="s">
        <v>37</v>
      </c>
      <c r="K6" s="8">
        <v>46282.5</v>
      </c>
      <c r="L6" s="9" t="s">
        <v>39</v>
      </c>
      <c r="M6" s="9" t="s">
        <v>41</v>
      </c>
      <c r="N6" s="8">
        <v>46291.5</v>
      </c>
      <c r="O6" s="9" t="s">
        <v>43</v>
      </c>
      <c r="P6" s="9" t="s">
        <v>45</v>
      </c>
      <c r="Q6" s="9" t="s">
        <v>47</v>
      </c>
      <c r="R6" s="9" t="s">
        <v>49</v>
      </c>
      <c r="S6" s="9" t="s">
        <v>50</v>
      </c>
      <c r="T6" s="9" t="s">
        <v>52</v>
      </c>
    </row>
    <row r="7" ht="99.75" customHeight="1">
      <c r="A7" s="8">
        <v>46291.5</v>
      </c>
      <c r="B7" s="9" t="s">
        <v>54</v>
      </c>
      <c r="C7" s="9" t="s">
        <v>60</v>
      </c>
      <c r="D7" s="9" t="s">
        <v>32</v>
      </c>
      <c r="E7" s="9" t="s">
        <v>61</v>
      </c>
      <c r="F7" s="9" t="s">
        <v>62</v>
      </c>
      <c r="G7" s="9" t="s">
        <v>64</v>
      </c>
      <c r="H7" s="8" t="s">
        <v>36</v>
      </c>
      <c r="I7" s="10" t="str">
        <f>HYPERLINK("https://job-boards.greenhouse.io/hudl/jobs/8119343","View / apply")</f>
        <v>View / apply</v>
      </c>
      <c r="J7" s="9" t="s">
        <v>70</v>
      </c>
      <c r="K7" s="8" t="s">
        <v>36</v>
      </c>
      <c r="L7" s="9" t="s">
        <v>72</v>
      </c>
      <c r="M7" s="9" t="s">
        <v>74</v>
      </c>
      <c r="N7" s="8">
        <v>46291.5</v>
      </c>
      <c r="O7" s="9" t="s">
        <v>76</v>
      </c>
      <c r="P7" s="9" t="s">
        <v>78</v>
      </c>
      <c r="Q7" s="9" t="s">
        <v>79</v>
      </c>
      <c r="R7" s="9" t="s">
        <v>80</v>
      </c>
      <c r="S7" s="9" t="s">
        <v>81</v>
      </c>
      <c r="T7" s="9" t="s">
        <v>52</v>
      </c>
    </row>
    <row r="8" ht="99.75" customHeight="1">
      <c r="A8" s="8">
        <v>46291.5</v>
      </c>
      <c r="B8" s="9" t="s">
        <v>82</v>
      </c>
      <c r="C8" s="9" t="s">
        <v>83</v>
      </c>
      <c r="D8" s="9" t="s">
        <v>32</v>
      </c>
      <c r="E8" s="9" t="s">
        <v>61</v>
      </c>
      <c r="F8" s="9" t="s">
        <v>62</v>
      </c>
      <c r="G8" s="9" t="s">
        <v>36</v>
      </c>
      <c r="H8" s="8" t="s">
        <v>36</v>
      </c>
      <c r="I8" s="10" t="str">
        <f>HYPERLINK("https://employment.unl.edu/postings/102312","View / apply")</f>
        <v>View / apply</v>
      </c>
      <c r="J8" s="9" t="s">
        <v>37</v>
      </c>
      <c r="K8" s="8">
        <v>46281.5</v>
      </c>
      <c r="L8" s="9" t="s">
        <v>72</v>
      </c>
      <c r="M8" s="9" t="s">
        <v>89</v>
      </c>
      <c r="N8" s="8">
        <v>46291.5</v>
      </c>
      <c r="O8" s="9" t="s">
        <v>91</v>
      </c>
      <c r="P8" s="9" t="s">
        <v>92</v>
      </c>
      <c r="Q8" s="9" t="s">
        <v>93</v>
      </c>
      <c r="R8" s="9" t="s">
        <v>96</v>
      </c>
      <c r="S8" s="9" t="s">
        <v>97</v>
      </c>
      <c r="T8" s="9" t="s">
        <v>52</v>
      </c>
    </row>
    <row r="9" ht="99.75" customHeight="1">
      <c r="A9" s="8">
        <v>46291.5</v>
      </c>
      <c r="B9" s="9" t="s">
        <v>99</v>
      </c>
      <c r="C9" s="9" t="s">
        <v>100</v>
      </c>
      <c r="D9" s="9" t="s">
        <v>32</v>
      </c>
      <c r="E9" s="9" t="s">
        <v>101</v>
      </c>
      <c r="F9" s="9" t="s">
        <v>57</v>
      </c>
      <c r="G9" s="9" t="s">
        <v>36</v>
      </c>
      <c r="H9" s="8" t="s">
        <v>36</v>
      </c>
      <c r="I9" s="10" t="str">
        <f>HYPERLINK("https://www.dickssportinggoods.jobs/job/finance-development-program/coraopolis-pa/202629239/","View / apply")</f>
        <v>View / apply</v>
      </c>
      <c r="J9" s="9" t="s">
        <v>103</v>
      </c>
      <c r="K9" s="8">
        <v>46273.5</v>
      </c>
      <c r="L9" s="9" t="s">
        <v>72</v>
      </c>
      <c r="M9" s="9" t="s">
        <v>107</v>
      </c>
      <c r="N9" s="8">
        <v>46291.5</v>
      </c>
      <c r="O9" s="9" t="s">
        <v>36</v>
      </c>
      <c r="P9" s="9" t="s">
        <v>109</v>
      </c>
      <c r="Q9" s="9" t="s">
        <v>110</v>
      </c>
      <c r="R9" s="9" t="s">
        <v>112</v>
      </c>
      <c r="S9" s="9" t="s">
        <v>113</v>
      </c>
      <c r="T9" s="9" t="s">
        <v>52</v>
      </c>
    </row>
    <row r="10" ht="99.75" customHeight="1">
      <c r="A10" s="8">
        <v>46291.5</v>
      </c>
      <c r="B10" s="9" t="s">
        <v>117</v>
      </c>
      <c r="C10" s="9" t="s">
        <v>118</v>
      </c>
      <c r="D10" s="9" t="s">
        <v>32</v>
      </c>
      <c r="E10" s="9" t="s">
        <v>119</v>
      </c>
      <c r="F10" s="9" t="s">
        <v>120</v>
      </c>
      <c r="G10" s="9" t="s">
        <v>64</v>
      </c>
      <c r="H10" s="8" t="s">
        <v>36</v>
      </c>
      <c r="I10" s="10" t="str">
        <f>HYPERLINK("https://www.fanduel.careers/jobs/fanduel/campaign-analytics-data-analyst/","View / apply")</f>
        <v>View / apply</v>
      </c>
      <c r="J10" s="9" t="s">
        <v>103</v>
      </c>
      <c r="K10" s="8" t="s">
        <v>36</v>
      </c>
      <c r="L10" s="9" t="s">
        <v>72</v>
      </c>
      <c r="M10" s="9" t="s">
        <v>123</v>
      </c>
      <c r="N10" s="8">
        <v>46291.5</v>
      </c>
      <c r="O10" s="9" t="s">
        <v>127</v>
      </c>
      <c r="P10" s="9" t="s">
        <v>128</v>
      </c>
      <c r="Q10" s="9" t="s">
        <v>129</v>
      </c>
      <c r="R10" s="9" t="s">
        <v>130</v>
      </c>
      <c r="S10" s="9" t="s">
        <v>132</v>
      </c>
      <c r="T10" s="9" t="s">
        <v>52</v>
      </c>
    </row>
    <row r="11" ht="99.75" customHeight="1">
      <c r="A11" s="8">
        <v>46291.5</v>
      </c>
      <c r="B11" s="9" t="s">
        <v>134</v>
      </c>
      <c r="C11" s="9" t="s">
        <v>135</v>
      </c>
      <c r="D11" s="9" t="s">
        <v>32</v>
      </c>
      <c r="E11" s="9" t="s">
        <v>136</v>
      </c>
      <c r="F11" s="9" t="s">
        <v>137</v>
      </c>
      <c r="G11" s="9" t="s">
        <v>36</v>
      </c>
      <c r="H11" s="8" t="s">
        <v>36</v>
      </c>
      <c r="I11" s="10" t="str">
        <f>HYPERLINK("https://www.teamworkonline.com/hockey-jobs/carolina-hurricanes-jobs/carolina-hurricanes/sales-associate-inside-sales-2190313","View / apply")</f>
        <v>View / apply</v>
      </c>
      <c r="J11" s="9" t="s">
        <v>59</v>
      </c>
      <c r="K11" s="8" t="s">
        <v>36</v>
      </c>
      <c r="L11" s="9" t="s">
        <v>72</v>
      </c>
      <c r="M11" s="9" t="s">
        <v>139</v>
      </c>
      <c r="N11" s="8">
        <v>46291.5</v>
      </c>
      <c r="O11" s="9" t="s">
        <v>36</v>
      </c>
      <c r="P11" s="9" t="s">
        <v>143</v>
      </c>
      <c r="Q11" s="9" t="s">
        <v>144</v>
      </c>
      <c r="R11" s="9" t="s">
        <v>145</v>
      </c>
      <c r="S11" s="9" t="s">
        <v>146</v>
      </c>
      <c r="T11" s="9" t="s">
        <v>52</v>
      </c>
    </row>
    <row r="12" ht="99.75" customHeight="1">
      <c r="A12" s="8">
        <v>46291.5</v>
      </c>
      <c r="B12" s="9" t="s">
        <v>148</v>
      </c>
      <c r="C12" s="9" t="s">
        <v>149</v>
      </c>
      <c r="D12" s="9" t="s">
        <v>32</v>
      </c>
      <c r="E12" s="9" t="s">
        <v>150</v>
      </c>
      <c r="F12" s="9" t="s">
        <v>151</v>
      </c>
      <c r="G12" s="9" t="s">
        <v>36</v>
      </c>
      <c r="H12" s="8" t="s">
        <v>36</v>
      </c>
      <c r="I12" s="10" t="str">
        <f>HYPERLINK("https://www.teamworkonline.com/soccer-jobs/nashville-sc/nashville-sc/coordinator-special-events-2190266","View / apply")</f>
        <v>View / apply</v>
      </c>
      <c r="J12" s="9" t="s">
        <v>59</v>
      </c>
      <c r="K12" s="8" t="s">
        <v>36</v>
      </c>
      <c r="L12" s="9" t="s">
        <v>72</v>
      </c>
      <c r="M12" s="9" t="s">
        <v>153</v>
      </c>
      <c r="N12" s="8">
        <v>46291.5</v>
      </c>
      <c r="O12" s="9" t="s">
        <v>36</v>
      </c>
      <c r="P12" s="9" t="s">
        <v>156</v>
      </c>
      <c r="Q12" s="9" t="s">
        <v>158</v>
      </c>
      <c r="R12" s="9" t="s">
        <v>160</v>
      </c>
      <c r="S12" s="9" t="s">
        <v>161</v>
      </c>
      <c r="T12" s="9" t="s">
        <v>52</v>
      </c>
    </row>
    <row r="13" ht="99.75" customHeight="1">
      <c r="A13" s="8">
        <v>46291.5</v>
      </c>
      <c r="B13" s="9" t="s">
        <v>164</v>
      </c>
      <c r="C13" s="9" t="s">
        <v>165</v>
      </c>
      <c r="D13" s="9" t="s">
        <v>32</v>
      </c>
      <c r="E13" s="9" t="s">
        <v>167</v>
      </c>
      <c r="F13" s="9" t="s">
        <v>169</v>
      </c>
      <c r="G13" s="9" t="s">
        <v>58</v>
      </c>
      <c r="H13" s="8" t="s">
        <v>36</v>
      </c>
      <c r="I13" s="10" t="str">
        <f>HYPERLINK("https://www.teamworkonline.com/olympic-jobs/usa-triathlon-jobs/usa-triathlon/development-coordinator-2190876","View / apply")</f>
        <v>View / apply</v>
      </c>
      <c r="J13" s="9" t="s">
        <v>59</v>
      </c>
      <c r="K13" s="8" t="s">
        <v>36</v>
      </c>
      <c r="L13" s="9" t="s">
        <v>72</v>
      </c>
      <c r="M13" s="9" t="s">
        <v>121</v>
      </c>
      <c r="N13" s="8">
        <v>46291.5</v>
      </c>
      <c r="O13" s="9" t="s">
        <v>170</v>
      </c>
      <c r="P13" s="9" t="s">
        <v>172</v>
      </c>
      <c r="Q13" s="9" t="s">
        <v>174</v>
      </c>
      <c r="R13" s="9" t="s">
        <v>175</v>
      </c>
      <c r="S13" s="9" t="s">
        <v>177</v>
      </c>
      <c r="T13" s="9" t="s">
        <v>52</v>
      </c>
    </row>
    <row r="14" ht="99.75" customHeight="1">
      <c r="A14" s="8">
        <v>46291.5</v>
      </c>
      <c r="B14" s="9" t="s">
        <v>179</v>
      </c>
      <c r="C14" s="9" t="s">
        <v>181</v>
      </c>
      <c r="D14" s="9" t="s">
        <v>32</v>
      </c>
      <c r="E14" s="9" t="s">
        <v>183</v>
      </c>
      <c r="F14" s="9" t="s">
        <v>184</v>
      </c>
      <c r="G14" s="9" t="s">
        <v>36</v>
      </c>
      <c r="H14" s="8" t="s">
        <v>36</v>
      </c>
      <c r="I14" s="10" t="str">
        <f>HYPERLINK("https://www.teamworkonline.com/football-jobs/washington-commanders-jobs/washington-commanders-jobs/inside-sales-representative-2190508","View / apply")</f>
        <v>View / apply</v>
      </c>
      <c r="J14" s="9" t="s">
        <v>59</v>
      </c>
      <c r="K14" s="8" t="s">
        <v>36</v>
      </c>
      <c r="L14" s="9" t="s">
        <v>72</v>
      </c>
      <c r="M14" s="9" t="s">
        <v>139</v>
      </c>
      <c r="N14" s="8">
        <v>46291.5</v>
      </c>
      <c r="O14" s="9" t="s">
        <v>186</v>
      </c>
      <c r="P14" s="9" t="s">
        <v>187</v>
      </c>
      <c r="Q14" s="9" t="s">
        <v>189</v>
      </c>
      <c r="R14" s="9" t="s">
        <v>192</v>
      </c>
      <c r="S14" s="9" t="s">
        <v>194</v>
      </c>
      <c r="T14" s="9" t="s">
        <v>52</v>
      </c>
    </row>
    <row r="15">
      <c r="A15" s="11">
        <v>46291.0</v>
      </c>
      <c r="B15" s="12" t="s">
        <v>196</v>
      </c>
      <c r="C15" s="12" t="s">
        <v>197</v>
      </c>
      <c r="D15" s="12" t="s">
        <v>32</v>
      </c>
      <c r="E15" s="12" t="s">
        <v>198</v>
      </c>
      <c r="F15" s="12" t="s">
        <v>169</v>
      </c>
      <c r="G15" s="12" t="s">
        <v>36</v>
      </c>
      <c r="H15" s="12" t="s">
        <v>36</v>
      </c>
      <c r="I15" s="13" t="str">
        <f>HYPERLINK("https://www.teamworkonline.com/multiple-properties/kroenkesportsjobs/kroenke-sports---entertainment/media-account-coordinator-2190254","View / apply")</f>
        <v>View / apply</v>
      </c>
      <c r="J15" s="12" t="s">
        <v>59</v>
      </c>
      <c r="K15" s="12" t="s">
        <v>36</v>
      </c>
      <c r="L15" s="12" t="s">
        <v>72</v>
      </c>
      <c r="M15" s="12" t="s">
        <v>102</v>
      </c>
      <c r="N15" s="11">
        <v>46291.0</v>
      </c>
      <c r="O15" s="12" t="s">
        <v>204</v>
      </c>
      <c r="P15" s="12" t="s">
        <v>205</v>
      </c>
      <c r="Q15" s="12" t="s">
        <v>206</v>
      </c>
      <c r="R15" s="12" t="s">
        <v>208</v>
      </c>
      <c r="S15" s="12" t="s">
        <v>209</v>
      </c>
      <c r="T15" s="12" t="s">
        <v>52</v>
      </c>
    </row>
    <row r="16">
      <c r="A16" s="11">
        <v>46291.0</v>
      </c>
      <c r="B16" s="12" t="s">
        <v>210</v>
      </c>
      <c r="C16" s="12" t="s">
        <v>211</v>
      </c>
      <c r="D16" s="12" t="s">
        <v>32</v>
      </c>
      <c r="E16" s="12" t="s">
        <v>166</v>
      </c>
      <c r="F16" s="12" t="s">
        <v>168</v>
      </c>
      <c r="G16" s="12" t="s">
        <v>36</v>
      </c>
      <c r="H16" s="12" t="s">
        <v>36</v>
      </c>
      <c r="I16" s="13" t="str">
        <f>HYPERLINK("https://www.teamworkonline.com/baseball-jobs/washington-nationals/washington-nationals/community-relations-coordinator-2190816","View / apply")</f>
        <v>View / apply</v>
      </c>
      <c r="J16" s="12" t="s">
        <v>59</v>
      </c>
      <c r="K16" s="12" t="s">
        <v>36</v>
      </c>
      <c r="L16" s="12" t="s">
        <v>72</v>
      </c>
      <c r="M16" s="12" t="s">
        <v>121</v>
      </c>
      <c r="N16" s="11">
        <v>46291.0</v>
      </c>
      <c r="O16" s="12" t="s">
        <v>217</v>
      </c>
      <c r="P16" s="12" t="s">
        <v>218</v>
      </c>
      <c r="Q16" s="12" t="s">
        <v>219</v>
      </c>
      <c r="R16" s="12" t="s">
        <v>221</v>
      </c>
      <c r="S16" s="12" t="s">
        <v>222</v>
      </c>
      <c r="T16" s="12" t="s">
        <v>52</v>
      </c>
    </row>
    <row r="17">
      <c r="A17" s="11">
        <v>46291.0</v>
      </c>
      <c r="B17" s="12" t="s">
        <v>223</v>
      </c>
      <c r="C17" s="12" t="s">
        <v>149</v>
      </c>
      <c r="D17" s="12" t="s">
        <v>32</v>
      </c>
      <c r="E17" s="12" t="s">
        <v>150</v>
      </c>
      <c r="F17" s="12" t="s">
        <v>151</v>
      </c>
      <c r="G17" s="12" t="s">
        <v>36</v>
      </c>
      <c r="H17" s="12" t="s">
        <v>36</v>
      </c>
      <c r="I17" s="13" t="str">
        <f>HYPERLINK("https://www.teamworkonline.com/soccer-jobs/nashville-sc/nashville-sc/ticketing-membership-services-specialist-2190631","View / apply")</f>
        <v>View / apply</v>
      </c>
      <c r="J17" s="12" t="s">
        <v>59</v>
      </c>
      <c r="K17" s="12" t="s">
        <v>36</v>
      </c>
      <c r="L17" s="12" t="s">
        <v>72</v>
      </c>
      <c r="M17" s="12" t="s">
        <v>224</v>
      </c>
      <c r="N17" s="11">
        <v>46291.0</v>
      </c>
      <c r="O17" s="12" t="s">
        <v>36</v>
      </c>
      <c r="P17" s="12" t="s">
        <v>229</v>
      </c>
      <c r="Q17" s="12" t="s">
        <v>230</v>
      </c>
      <c r="R17" s="12" t="s">
        <v>231</v>
      </c>
      <c r="S17" s="12" t="s">
        <v>232</v>
      </c>
      <c r="T17" s="12" t="s">
        <v>52</v>
      </c>
    </row>
    <row r="18">
      <c r="A18" s="11">
        <v>46291.0</v>
      </c>
      <c r="B18" s="12" t="s">
        <v>234</v>
      </c>
      <c r="C18" s="12" t="s">
        <v>235</v>
      </c>
      <c r="D18" s="12" t="s">
        <v>32</v>
      </c>
      <c r="E18" s="12" t="s">
        <v>236</v>
      </c>
      <c r="F18" s="12" t="s">
        <v>237</v>
      </c>
      <c r="G18" s="12" t="s">
        <v>36</v>
      </c>
      <c r="H18" s="12" t="s">
        <v>36</v>
      </c>
      <c r="I18" s="13" t="str">
        <f>HYPERLINK("https://www.teamworkonline.com/soccer-jobs/fc-cincinnati/fc-cincinnati/match-production-coordinator-2189950","View / apply")</f>
        <v>View / apply</v>
      </c>
      <c r="J18" s="12" t="s">
        <v>59</v>
      </c>
      <c r="K18" s="12" t="s">
        <v>36</v>
      </c>
      <c r="L18" s="12" t="s">
        <v>72</v>
      </c>
      <c r="M18" s="12" t="s">
        <v>224</v>
      </c>
      <c r="N18" s="11">
        <v>46291.0</v>
      </c>
      <c r="O18" s="12" t="s">
        <v>36</v>
      </c>
      <c r="P18" s="12" t="s">
        <v>238</v>
      </c>
      <c r="Q18" s="12" t="s">
        <v>239</v>
      </c>
      <c r="R18" s="12" t="s">
        <v>240</v>
      </c>
      <c r="S18" s="12" t="s">
        <v>242</v>
      </c>
      <c r="T18" s="12" t="s">
        <v>52</v>
      </c>
    </row>
    <row r="19">
      <c r="A19" s="11">
        <v>46291.0</v>
      </c>
      <c r="B19" s="12" t="s">
        <v>245</v>
      </c>
      <c r="C19" s="12" t="s">
        <v>246</v>
      </c>
      <c r="D19" s="12" t="s">
        <v>32</v>
      </c>
      <c r="E19" s="12" t="s">
        <v>248</v>
      </c>
      <c r="F19" s="12" t="s">
        <v>249</v>
      </c>
      <c r="G19" s="12" t="s">
        <v>58</v>
      </c>
      <c r="H19" s="12" t="s">
        <v>36</v>
      </c>
      <c r="I19" s="13" t="str">
        <f>HYPERLINK("https://www.teamworkonline.com/basketball-jobs/warriors/golden-state-warriors-careers/specialist-accounts-payable-2190863","View / apply")</f>
        <v>View / apply</v>
      </c>
      <c r="J19" s="12" t="s">
        <v>59</v>
      </c>
      <c r="K19" s="12" t="s">
        <v>36</v>
      </c>
      <c r="L19" s="12" t="s">
        <v>72</v>
      </c>
      <c r="M19" s="12" t="s">
        <v>107</v>
      </c>
      <c r="N19" s="11">
        <v>46291.0</v>
      </c>
      <c r="O19" s="12" t="s">
        <v>250</v>
      </c>
      <c r="P19" s="12" t="s">
        <v>251</v>
      </c>
      <c r="Q19" s="12" t="s">
        <v>252</v>
      </c>
      <c r="R19" s="12" t="s">
        <v>253</v>
      </c>
      <c r="S19" s="12" t="s">
        <v>254</v>
      </c>
      <c r="T19" s="12" t="s">
        <v>52</v>
      </c>
    </row>
    <row r="20">
      <c r="A20" s="11">
        <v>46291.0</v>
      </c>
      <c r="B20" s="12" t="s">
        <v>257</v>
      </c>
      <c r="C20" s="12" t="s">
        <v>258</v>
      </c>
      <c r="D20" s="12" t="s">
        <v>32</v>
      </c>
      <c r="E20" s="12" t="s">
        <v>259</v>
      </c>
      <c r="F20" s="12" t="s">
        <v>249</v>
      </c>
      <c r="G20" s="12" t="s">
        <v>58</v>
      </c>
      <c r="H20" s="12" t="s">
        <v>36</v>
      </c>
      <c r="I20" s="13" t="str">
        <f>HYPERLINK("https://www.teamworkonline.com/hockey-jobs/los-angeles-kings-jobs/los-angeles-kings-28605/la-kings-account-executive-group-sales-2190755","View / apply")</f>
        <v>View / apply</v>
      </c>
      <c r="J20" s="12" t="s">
        <v>59</v>
      </c>
      <c r="K20" s="12" t="s">
        <v>36</v>
      </c>
      <c r="L20" s="12" t="s">
        <v>72</v>
      </c>
      <c r="M20" s="12" t="s">
        <v>139</v>
      </c>
      <c r="N20" s="11">
        <v>46291.0</v>
      </c>
      <c r="O20" s="12" t="s">
        <v>261</v>
      </c>
      <c r="P20" s="12" t="s">
        <v>262</v>
      </c>
      <c r="Q20" s="12" t="s">
        <v>263</v>
      </c>
      <c r="R20" s="12" t="s">
        <v>264</v>
      </c>
      <c r="S20" s="12" t="s">
        <v>265</v>
      </c>
      <c r="T20" s="12" t="s">
        <v>52</v>
      </c>
    </row>
    <row r="21" ht="15.75" customHeight="1">
      <c r="A21" s="11">
        <v>46291.0</v>
      </c>
      <c r="B21" s="12" t="s">
        <v>267</v>
      </c>
      <c r="C21" s="12" t="s">
        <v>269</v>
      </c>
      <c r="D21" s="12" t="s">
        <v>32</v>
      </c>
      <c r="E21" s="12" t="s">
        <v>270</v>
      </c>
      <c r="F21" s="12" t="s">
        <v>77</v>
      </c>
      <c r="G21" s="12" t="s">
        <v>36</v>
      </c>
      <c r="H21" s="12" t="s">
        <v>36</v>
      </c>
      <c r="I21" s="13" t="str">
        <f>HYPERLINK("https://www.teamworkonline.com/other-sports-jobs/ironman/ironman/assistant-planner-2190309","View / apply")</f>
        <v>View / apply</v>
      </c>
      <c r="J21" s="12" t="s">
        <v>59</v>
      </c>
      <c r="K21" s="12" t="s">
        <v>36</v>
      </c>
      <c r="L21" s="12" t="s">
        <v>72</v>
      </c>
      <c r="M21" s="12" t="s">
        <v>199</v>
      </c>
      <c r="N21" s="11">
        <v>46291.0</v>
      </c>
      <c r="O21" s="12" t="s">
        <v>36</v>
      </c>
      <c r="P21" s="12" t="s">
        <v>272</v>
      </c>
      <c r="Q21" s="12" t="s">
        <v>273</v>
      </c>
      <c r="R21" s="12" t="s">
        <v>274</v>
      </c>
      <c r="S21" s="12" t="s">
        <v>275</v>
      </c>
      <c r="T21" s="12" t="s">
        <v>52</v>
      </c>
    </row>
    <row r="22" ht="15.75" customHeight="1">
      <c r="A22" s="11">
        <v>46292.0</v>
      </c>
      <c r="B22" s="12" t="s">
        <v>276</v>
      </c>
      <c r="C22" s="12" t="s">
        <v>277</v>
      </c>
      <c r="D22" s="12" t="s">
        <v>32</v>
      </c>
      <c r="E22" s="12" t="s">
        <v>278</v>
      </c>
      <c r="F22" s="12" t="s">
        <v>137</v>
      </c>
      <c r="G22" s="12" t="s">
        <v>36</v>
      </c>
      <c r="H22" s="12" t="s">
        <v>36</v>
      </c>
      <c r="I22" s="13" t="str">
        <f>HYPERLINK("https://www.teamworkonline.com/basketball-jobs/charlotte/charlotte-hornets/account-executive-group-sales-2189609","View / apply")</f>
        <v>View / apply</v>
      </c>
      <c r="J22" s="12" t="s">
        <v>59</v>
      </c>
      <c r="K22" s="12" t="s">
        <v>36</v>
      </c>
      <c r="L22" s="12" t="s">
        <v>72</v>
      </c>
      <c r="M22" s="12" t="s">
        <v>139</v>
      </c>
      <c r="N22" s="11">
        <v>46292.0</v>
      </c>
      <c r="O22" s="12" t="s">
        <v>36</v>
      </c>
      <c r="P22" s="12" t="s">
        <v>281</v>
      </c>
      <c r="Q22" s="12" t="s">
        <v>282</v>
      </c>
      <c r="R22" s="12" t="s">
        <v>283</v>
      </c>
      <c r="S22" s="12" t="s">
        <v>284</v>
      </c>
      <c r="T22" s="12" t="s">
        <v>52</v>
      </c>
    </row>
    <row r="23" ht="15.75" customHeight="1">
      <c r="A23" s="11">
        <v>46292.0</v>
      </c>
      <c r="B23" s="12" t="s">
        <v>285</v>
      </c>
      <c r="C23" s="12" t="s">
        <v>286</v>
      </c>
      <c r="D23" s="12" t="s">
        <v>32</v>
      </c>
      <c r="E23" s="12" t="s">
        <v>288</v>
      </c>
      <c r="F23" s="12" t="s">
        <v>289</v>
      </c>
      <c r="G23" s="12" t="s">
        <v>36</v>
      </c>
      <c r="H23" s="12" t="s">
        <v>36</v>
      </c>
      <c r="I23" s="13" t="str">
        <f>HYPERLINK("https://www.teamworkonline.com/soccer-jobs/mls/sporting-kansas-city/team-administrator-academy-2189257","View / apply")</f>
        <v>View / apply</v>
      </c>
      <c r="J23" s="12" t="s">
        <v>59</v>
      </c>
      <c r="K23" s="12" t="s">
        <v>36</v>
      </c>
      <c r="L23" s="12" t="s">
        <v>72</v>
      </c>
      <c r="M23" s="12" t="s">
        <v>84</v>
      </c>
      <c r="N23" s="11">
        <v>46292.0</v>
      </c>
      <c r="O23" s="12" t="s">
        <v>36</v>
      </c>
      <c r="P23" s="12" t="s">
        <v>292</v>
      </c>
      <c r="Q23" s="12" t="s">
        <v>293</v>
      </c>
      <c r="R23" s="12" t="s">
        <v>294</v>
      </c>
      <c r="S23" s="12" t="s">
        <v>295</v>
      </c>
      <c r="T23" s="12" t="s">
        <v>52</v>
      </c>
    </row>
    <row r="24" ht="15.75" customHeight="1">
      <c r="A24" s="11">
        <v>46292.0</v>
      </c>
      <c r="B24" s="12" t="s">
        <v>296</v>
      </c>
      <c r="C24" s="12" t="s">
        <v>197</v>
      </c>
      <c r="D24" s="12" t="s">
        <v>32</v>
      </c>
      <c r="E24" s="12" t="s">
        <v>300</v>
      </c>
      <c r="F24" s="12" t="s">
        <v>169</v>
      </c>
      <c r="G24" s="12" t="s">
        <v>36</v>
      </c>
      <c r="H24" s="12" t="s">
        <v>36</v>
      </c>
      <c r="I24" s="13" t="str">
        <f>HYPERLINK("https://www.teamworkonline.com/multiple-properties/kroenkesportsjobs/kroenke-sports---entertainment/media-and-traffic-operations-specialist-2190255","View / apply")</f>
        <v>View / apply</v>
      </c>
      <c r="J24" s="12" t="s">
        <v>59</v>
      </c>
      <c r="K24" s="12" t="s">
        <v>36</v>
      </c>
      <c r="L24" s="12" t="s">
        <v>72</v>
      </c>
      <c r="M24" s="12" t="s">
        <v>40</v>
      </c>
      <c r="N24" s="11">
        <v>46292.0</v>
      </c>
      <c r="O24" s="12" t="s">
        <v>302</v>
      </c>
      <c r="P24" s="12" t="s">
        <v>303</v>
      </c>
      <c r="Q24" s="12" t="s">
        <v>304</v>
      </c>
      <c r="R24" s="12" t="s">
        <v>305</v>
      </c>
      <c r="S24" s="12" t="s">
        <v>306</v>
      </c>
      <c r="T24" s="12" t="s">
        <v>52</v>
      </c>
    </row>
    <row r="25" ht="15.75" customHeight="1">
      <c r="A25" s="11">
        <v>46292.0</v>
      </c>
      <c r="B25" s="12" t="s">
        <v>307</v>
      </c>
      <c r="C25" s="12" t="s">
        <v>308</v>
      </c>
      <c r="D25" s="12" t="s">
        <v>32</v>
      </c>
      <c r="E25" s="12" t="s">
        <v>309</v>
      </c>
      <c r="F25" s="12" t="s">
        <v>312</v>
      </c>
      <c r="G25" s="12" t="s">
        <v>58</v>
      </c>
      <c r="H25" s="12" t="s">
        <v>36</v>
      </c>
      <c r="I25" s="13" t="str">
        <f>HYPERLINK("https://www.teamworkonline.com/basketball-jobs/phoenix-suns/phoenix-suns/account-executive-business-development-2190620","View / apply")</f>
        <v>View / apply</v>
      </c>
      <c r="J25" s="12" t="s">
        <v>59</v>
      </c>
      <c r="K25" s="12" t="s">
        <v>36</v>
      </c>
      <c r="L25" s="12" t="s">
        <v>72</v>
      </c>
      <c r="M25" s="12" t="s">
        <v>74</v>
      </c>
      <c r="N25" s="11">
        <v>46292.0</v>
      </c>
      <c r="O25" s="12" t="s">
        <v>36</v>
      </c>
      <c r="P25" s="12" t="s">
        <v>318</v>
      </c>
      <c r="Q25" s="12" t="s">
        <v>319</v>
      </c>
      <c r="R25" s="12" t="s">
        <v>320</v>
      </c>
      <c r="S25" s="12" t="s">
        <v>321</v>
      </c>
      <c r="T25" s="12" t="s">
        <v>52</v>
      </c>
    </row>
    <row r="26" ht="15.75" customHeight="1">
      <c r="A26" s="11">
        <v>46292.0</v>
      </c>
      <c r="B26" s="12" t="s">
        <v>322</v>
      </c>
      <c r="C26" s="12" t="s">
        <v>323</v>
      </c>
      <c r="D26" s="12" t="s">
        <v>32</v>
      </c>
      <c r="E26" s="12" t="s">
        <v>327</v>
      </c>
      <c r="F26" s="12" t="s">
        <v>116</v>
      </c>
      <c r="G26" s="12" t="s">
        <v>58</v>
      </c>
      <c r="H26" s="12" t="s">
        <v>36</v>
      </c>
      <c r="I26" s="13" t="str">
        <f>HYPERLINK("https://www.teamworkonline.com/hockey-jobs/dallas-stars-jobs/dallas-stars/hockey-programs-coordinator-2189548","View / apply")</f>
        <v>View / apply</v>
      </c>
      <c r="J26" s="12" t="s">
        <v>59</v>
      </c>
      <c r="K26" s="12" t="s">
        <v>36</v>
      </c>
      <c r="L26" s="12" t="s">
        <v>72</v>
      </c>
      <c r="M26" s="12" t="s">
        <v>333</v>
      </c>
      <c r="N26" s="11">
        <v>46292.0</v>
      </c>
      <c r="O26" s="12" t="s">
        <v>334</v>
      </c>
      <c r="P26" s="12" t="s">
        <v>335</v>
      </c>
      <c r="Q26" s="12" t="s">
        <v>336</v>
      </c>
      <c r="R26" s="12" t="s">
        <v>337</v>
      </c>
      <c r="S26" s="12" t="s">
        <v>338</v>
      </c>
      <c r="T26" s="12" t="s">
        <v>52</v>
      </c>
    </row>
    <row r="27" ht="15.75" customHeight="1">
      <c r="A27" s="11">
        <v>46292.0</v>
      </c>
      <c r="B27" s="12" t="s">
        <v>339</v>
      </c>
      <c r="C27" s="12" t="s">
        <v>341</v>
      </c>
      <c r="D27" s="12" t="s">
        <v>32</v>
      </c>
      <c r="E27" s="12" t="s">
        <v>344</v>
      </c>
      <c r="F27" s="12" t="s">
        <v>116</v>
      </c>
      <c r="G27" s="12" t="s">
        <v>58</v>
      </c>
      <c r="H27" s="12" t="s">
        <v>36</v>
      </c>
      <c r="I27" s="13" t="str">
        <f>HYPERLINK("https://www.teamworkonline.com/hockey-jobs/dallas-stars-jobs/dallas-stars/business-operations-coordinator-2189776","View / apply")</f>
        <v>View / apply</v>
      </c>
      <c r="J27" s="12" t="s">
        <v>59</v>
      </c>
      <c r="K27" s="12" t="s">
        <v>36</v>
      </c>
      <c r="L27" s="12" t="s">
        <v>72</v>
      </c>
      <c r="M27" s="12" t="s">
        <v>84</v>
      </c>
      <c r="N27" s="11">
        <v>46292.0</v>
      </c>
      <c r="O27" s="12" t="s">
        <v>351</v>
      </c>
      <c r="P27" s="12" t="s">
        <v>352</v>
      </c>
      <c r="Q27" s="12" t="s">
        <v>353</v>
      </c>
      <c r="R27" s="12" t="s">
        <v>354</v>
      </c>
      <c r="S27" s="12" t="s">
        <v>355</v>
      </c>
      <c r="T27" s="12" t="s">
        <v>52</v>
      </c>
    </row>
    <row r="28" ht="15.75" customHeight="1">
      <c r="A28" s="11">
        <v>46292.0</v>
      </c>
      <c r="B28" s="12" t="s">
        <v>356</v>
      </c>
      <c r="C28" s="12" t="s">
        <v>357</v>
      </c>
      <c r="D28" s="12" t="s">
        <v>32</v>
      </c>
      <c r="E28" s="12" t="s">
        <v>360</v>
      </c>
      <c r="F28" s="12" t="s">
        <v>363</v>
      </c>
      <c r="G28" s="12" t="s">
        <v>36</v>
      </c>
      <c r="H28" s="12" t="s">
        <v>36</v>
      </c>
      <c r="I28" s="13" t="str">
        <f>HYPERLINK("https://www.teamworkonline.com/baseball-jobs/fenwaysports/boston-red-sox/2027-baseball-operations-associate-2188314","View / apply")</f>
        <v>View / apply</v>
      </c>
      <c r="J28" s="12" t="s">
        <v>59</v>
      </c>
      <c r="K28" s="12" t="s">
        <v>36</v>
      </c>
      <c r="L28" s="12" t="s">
        <v>72</v>
      </c>
      <c r="M28" s="12" t="s">
        <v>84</v>
      </c>
      <c r="N28" s="11">
        <v>46292.0</v>
      </c>
      <c r="O28" s="12" t="s">
        <v>365</v>
      </c>
      <c r="P28" s="12" t="s">
        <v>366</v>
      </c>
      <c r="Q28" s="12" t="s">
        <v>367</v>
      </c>
      <c r="R28" s="12" t="s">
        <v>368</v>
      </c>
      <c r="S28" s="12" t="s">
        <v>369</v>
      </c>
      <c r="T28" s="12" t="s">
        <v>52</v>
      </c>
    </row>
    <row r="29" ht="15.75" customHeight="1">
      <c r="A29" s="11">
        <v>46292.0</v>
      </c>
      <c r="B29" s="12" t="s">
        <v>370</v>
      </c>
      <c r="C29" s="12" t="s">
        <v>371</v>
      </c>
      <c r="D29" s="12" t="s">
        <v>32</v>
      </c>
      <c r="E29" s="12" t="s">
        <v>373</v>
      </c>
      <c r="F29" s="12" t="s">
        <v>375</v>
      </c>
      <c r="G29" s="12" t="s">
        <v>36</v>
      </c>
      <c r="H29" s="12" t="s">
        <v>36</v>
      </c>
      <c r="I29" s="13" t="str">
        <f>HYPERLINK("https://www.teamworkonline.com/soccer-jobs/us-soccer-jobs/u-s--soccer-federation/coordinator-events-sales-service-2191828","View / apply")</f>
        <v>View / apply</v>
      </c>
      <c r="J29" s="12" t="s">
        <v>59</v>
      </c>
      <c r="K29" s="12" t="s">
        <v>36</v>
      </c>
      <c r="L29" s="12" t="s">
        <v>72</v>
      </c>
      <c r="M29" s="12" t="s">
        <v>153</v>
      </c>
      <c r="N29" s="11">
        <v>46292.0</v>
      </c>
      <c r="O29" s="12" t="s">
        <v>36</v>
      </c>
      <c r="P29" s="12" t="s">
        <v>381</v>
      </c>
      <c r="Q29" s="12" t="s">
        <v>382</v>
      </c>
      <c r="R29" s="12" t="s">
        <v>383</v>
      </c>
      <c r="S29" s="12" t="s">
        <v>384</v>
      </c>
      <c r="T29" s="12" t="s">
        <v>52</v>
      </c>
    </row>
    <row r="30" ht="15.75" customHeight="1">
      <c r="A30" s="11">
        <v>46292.0</v>
      </c>
      <c r="B30" s="12" t="s">
        <v>385</v>
      </c>
      <c r="C30" s="12" t="s">
        <v>386</v>
      </c>
      <c r="D30" s="12" t="s">
        <v>32</v>
      </c>
      <c r="E30" s="12" t="s">
        <v>388</v>
      </c>
      <c r="F30" s="12" t="s">
        <v>237</v>
      </c>
      <c r="G30" s="12" t="s">
        <v>58</v>
      </c>
      <c r="H30" s="12" t="s">
        <v>36</v>
      </c>
      <c r="I30" s="13" t="str">
        <f>HYPERLINK("https://www.teamworkonline.com/golf-tennis-jobs/usga-jobs/usga-jobs/coordinator-u-s-women-s-open-operations-2191580","View / apply")</f>
        <v>View / apply</v>
      </c>
      <c r="J30" s="12" t="s">
        <v>59</v>
      </c>
      <c r="K30" s="12" t="s">
        <v>36</v>
      </c>
      <c r="L30" s="12" t="s">
        <v>72</v>
      </c>
      <c r="M30" s="12" t="s">
        <v>153</v>
      </c>
      <c r="N30" s="11">
        <v>46292.0</v>
      </c>
      <c r="O30" s="12" t="s">
        <v>395</v>
      </c>
      <c r="P30" s="12" t="s">
        <v>396</v>
      </c>
      <c r="Q30" s="12" t="s">
        <v>397</v>
      </c>
      <c r="R30" s="12" t="s">
        <v>283</v>
      </c>
      <c r="S30" s="12" t="s">
        <v>398</v>
      </c>
      <c r="T30" s="12" t="s">
        <v>52</v>
      </c>
    </row>
    <row r="31" ht="15.75" customHeight="1">
      <c r="A31" s="11">
        <v>46292.0</v>
      </c>
      <c r="B31" s="12" t="s">
        <v>399</v>
      </c>
      <c r="C31" s="12" t="s">
        <v>400</v>
      </c>
      <c r="D31" s="12" t="s">
        <v>32</v>
      </c>
      <c r="E31" s="12" t="s">
        <v>403</v>
      </c>
      <c r="F31" s="12" t="s">
        <v>77</v>
      </c>
      <c r="G31" s="12" t="s">
        <v>36</v>
      </c>
      <c r="H31" s="12" t="s">
        <v>36</v>
      </c>
      <c r="I31" s="13" t="str">
        <f>HYPERLINK("https://www.teamworkonline.com/golf-tennis-jobs/pgatour/pga-tour-/coordinator-sponsor-relations-2191309","View / apply")</f>
        <v>View / apply</v>
      </c>
      <c r="J31" s="12" t="s">
        <v>59</v>
      </c>
      <c r="K31" s="12" t="s">
        <v>36</v>
      </c>
      <c r="L31" s="12" t="s">
        <v>72</v>
      </c>
      <c r="M31" s="12" t="s">
        <v>102</v>
      </c>
      <c r="N31" s="11">
        <v>46292.0</v>
      </c>
      <c r="O31" s="12" t="s">
        <v>36</v>
      </c>
      <c r="P31" s="12" t="s">
        <v>408</v>
      </c>
      <c r="Q31" s="12" t="s">
        <v>409</v>
      </c>
      <c r="R31" s="12" t="s">
        <v>410</v>
      </c>
      <c r="S31" s="12" t="s">
        <v>411</v>
      </c>
      <c r="T31" s="12" t="s">
        <v>52</v>
      </c>
    </row>
    <row r="32" ht="15.75" customHeight="1">
      <c r="A32" s="11">
        <v>46292.0</v>
      </c>
      <c r="B32" s="12" t="s">
        <v>412</v>
      </c>
      <c r="C32" s="12" t="s">
        <v>413</v>
      </c>
      <c r="D32" s="12" t="s">
        <v>32</v>
      </c>
      <c r="E32" s="12" t="s">
        <v>414</v>
      </c>
      <c r="F32" s="12" t="s">
        <v>415</v>
      </c>
      <c r="G32" s="12" t="s">
        <v>36</v>
      </c>
      <c r="H32" s="12" t="s">
        <v>36</v>
      </c>
      <c r="I32" s="13" t="str">
        <f>HYPERLINK("https://www.teamworkonline.com/college-jobs/learfield-ticketing/learfield-sports-properties-jobs/partnership-solutions-coordinator-virginia-commonwealth-university-2191836","View / apply")</f>
        <v>View / apply</v>
      </c>
      <c r="J32" s="12" t="s">
        <v>59</v>
      </c>
      <c r="K32" s="12" t="s">
        <v>36</v>
      </c>
      <c r="L32" s="12" t="s">
        <v>72</v>
      </c>
      <c r="M32" s="12" t="s">
        <v>102</v>
      </c>
      <c r="N32" s="11">
        <v>46292.0</v>
      </c>
      <c r="O32" s="12" t="s">
        <v>36</v>
      </c>
      <c r="P32" s="12" t="s">
        <v>421</v>
      </c>
      <c r="Q32" s="12" t="s">
        <v>422</v>
      </c>
      <c r="R32" s="12" t="s">
        <v>283</v>
      </c>
      <c r="S32" s="12" t="s">
        <v>423</v>
      </c>
      <c r="T32" s="12" t="s">
        <v>52</v>
      </c>
    </row>
    <row r="33" ht="15.75" customHeight="1">
      <c r="A33" s="11">
        <v>46292.0</v>
      </c>
      <c r="B33" s="12" t="s">
        <v>424</v>
      </c>
      <c r="C33" s="12" t="s">
        <v>149</v>
      </c>
      <c r="D33" s="12" t="s">
        <v>32</v>
      </c>
      <c r="E33" s="12" t="s">
        <v>425</v>
      </c>
      <c r="F33" s="12" t="s">
        <v>151</v>
      </c>
      <c r="G33" s="12" t="s">
        <v>36</v>
      </c>
      <c r="H33" s="12" t="s">
        <v>36</v>
      </c>
      <c r="I33" s="13" t="str">
        <f>HYPERLINK("https://www.teamworkonline.com/soccer-jobs/nashville-sc/nashville-sc/corporate-partnerships-coordinator-partnership-activation-2191489","View / apply")</f>
        <v>View / apply</v>
      </c>
      <c r="J33" s="12" t="s">
        <v>59</v>
      </c>
      <c r="K33" s="12" t="s">
        <v>36</v>
      </c>
      <c r="L33" s="12" t="s">
        <v>72</v>
      </c>
      <c r="M33" s="12" t="s">
        <v>102</v>
      </c>
      <c r="N33" s="11">
        <v>46292.0</v>
      </c>
      <c r="O33" s="12" t="s">
        <v>36</v>
      </c>
      <c r="P33" s="12" t="s">
        <v>432</v>
      </c>
      <c r="Q33" s="12" t="s">
        <v>434</v>
      </c>
      <c r="R33" s="12" t="s">
        <v>283</v>
      </c>
      <c r="S33" s="12" t="s">
        <v>435</v>
      </c>
      <c r="T33" s="12" t="s">
        <v>52</v>
      </c>
    </row>
    <row r="34" ht="15.75" customHeight="1">
      <c r="A34" s="11">
        <v>46292.0</v>
      </c>
      <c r="B34" s="12" t="s">
        <v>436</v>
      </c>
      <c r="C34" s="12" t="s">
        <v>437</v>
      </c>
      <c r="D34" s="12" t="s">
        <v>32</v>
      </c>
      <c r="E34" s="12" t="s">
        <v>438</v>
      </c>
      <c r="F34" s="12" t="s">
        <v>169</v>
      </c>
      <c r="G34" s="12" t="s">
        <v>64</v>
      </c>
      <c r="H34" s="12" t="s">
        <v>36</v>
      </c>
      <c r="I34" s="13" t="str">
        <f>HYPERLINK("https://www.teamworkonline.com/olympic-jobs/usngbjobs/usa-fencing/membership-services-coordinator-2190880","View / apply")</f>
        <v>View / apply</v>
      </c>
      <c r="J34" s="12" t="s">
        <v>59</v>
      </c>
      <c r="K34" s="12" t="s">
        <v>36</v>
      </c>
      <c r="L34" s="12" t="s">
        <v>72</v>
      </c>
      <c r="M34" s="12" t="s">
        <v>199</v>
      </c>
      <c r="N34" s="11">
        <v>46292.0</v>
      </c>
      <c r="O34" s="12" t="s">
        <v>444</v>
      </c>
      <c r="P34" s="12" t="s">
        <v>446</v>
      </c>
      <c r="Q34" s="12" t="s">
        <v>447</v>
      </c>
      <c r="R34" s="12" t="s">
        <v>448</v>
      </c>
      <c r="S34" s="12" t="s">
        <v>449</v>
      </c>
      <c r="T34" s="12" t="s">
        <v>52</v>
      </c>
    </row>
    <row r="35" ht="15.75" customHeight="1">
      <c r="A35" s="11">
        <v>46292.0</v>
      </c>
      <c r="B35" s="12" t="s">
        <v>450</v>
      </c>
      <c r="C35" s="12" t="s">
        <v>451</v>
      </c>
      <c r="D35" s="12" t="s">
        <v>32</v>
      </c>
      <c r="E35" s="12" t="s">
        <v>452</v>
      </c>
      <c r="F35" s="12" t="s">
        <v>35</v>
      </c>
      <c r="G35" s="12" t="s">
        <v>36</v>
      </c>
      <c r="H35" s="12" t="s">
        <v>36</v>
      </c>
      <c r="I35" s="13" t="str">
        <f>HYPERLINK("https://www.teamworkonline.com/hockey-jobs/echl/indy-fuel/partnership-and-suite-coordinator-2191483","View / apply")</f>
        <v>View / apply</v>
      </c>
      <c r="J35" s="12" t="s">
        <v>59</v>
      </c>
      <c r="K35" s="12" t="s">
        <v>36</v>
      </c>
      <c r="L35" s="12" t="s">
        <v>72</v>
      </c>
      <c r="M35" s="12" t="s">
        <v>102</v>
      </c>
      <c r="N35" s="11">
        <v>46292.0</v>
      </c>
      <c r="O35" s="12" t="s">
        <v>36</v>
      </c>
      <c r="P35" s="12" t="s">
        <v>460</v>
      </c>
      <c r="Q35" s="12" t="s">
        <v>461</v>
      </c>
      <c r="R35" s="12" t="s">
        <v>462</v>
      </c>
      <c r="S35" s="12" t="s">
        <v>463</v>
      </c>
      <c r="T35" s="12" t="s">
        <v>52</v>
      </c>
    </row>
    <row r="36" ht="15.75" customHeight="1">
      <c r="A36" s="11">
        <v>46292.0</v>
      </c>
      <c r="B36" s="12" t="s">
        <v>464</v>
      </c>
      <c r="C36" s="12" t="s">
        <v>400</v>
      </c>
      <c r="D36" s="12" t="s">
        <v>32</v>
      </c>
      <c r="E36" s="12" t="s">
        <v>403</v>
      </c>
      <c r="F36" s="12" t="s">
        <v>77</v>
      </c>
      <c r="G36" s="12" t="s">
        <v>36</v>
      </c>
      <c r="H36" s="12" t="s">
        <v>36</v>
      </c>
      <c r="I36" s="13" t="str">
        <f>HYPERLINK("https://www.teamworkonline.com/golf-tennis-jobs/pgatour/pga-tour-/coordinator-media-partner-solutions-2191310","View / apply")</f>
        <v>View / apply</v>
      </c>
      <c r="J36" s="12" t="s">
        <v>59</v>
      </c>
      <c r="K36" s="12" t="s">
        <v>36</v>
      </c>
      <c r="L36" s="12" t="s">
        <v>72</v>
      </c>
      <c r="M36" s="12" t="s">
        <v>40</v>
      </c>
      <c r="N36" s="11">
        <v>46292.0</v>
      </c>
      <c r="O36" s="12" t="s">
        <v>36</v>
      </c>
      <c r="P36" s="12" t="s">
        <v>472</v>
      </c>
      <c r="Q36" s="12" t="s">
        <v>473</v>
      </c>
      <c r="R36" s="12" t="s">
        <v>474</v>
      </c>
      <c r="S36" s="12" t="s">
        <v>475</v>
      </c>
      <c r="T36" s="12" t="s">
        <v>52</v>
      </c>
    </row>
    <row r="37" ht="15.75" customHeight="1">
      <c r="A37" s="11">
        <v>46292.0</v>
      </c>
      <c r="B37" s="12" t="s">
        <v>477</v>
      </c>
      <c r="C37" s="12" t="s">
        <v>479</v>
      </c>
      <c r="D37" s="12" t="s">
        <v>32</v>
      </c>
      <c r="E37" s="12" t="s">
        <v>481</v>
      </c>
      <c r="F37" s="12" t="s">
        <v>116</v>
      </c>
      <c r="G37" s="12" t="s">
        <v>36</v>
      </c>
      <c r="H37" s="12" t="s">
        <v>36</v>
      </c>
      <c r="I37" s="13" t="str">
        <f>HYPERLINK("https://www.teamworkonline.com/arenas-facilities-jobs/asm-global-jobs/asm-global-jobs/event-coordinator-2191012","View / apply")</f>
        <v>View / apply</v>
      </c>
      <c r="J37" s="12" t="s">
        <v>59</v>
      </c>
      <c r="K37" s="12" t="s">
        <v>36</v>
      </c>
      <c r="L37" s="12" t="s">
        <v>72</v>
      </c>
      <c r="M37" s="12" t="s">
        <v>153</v>
      </c>
      <c r="N37" s="11">
        <v>46292.0</v>
      </c>
      <c r="O37" s="12" t="s">
        <v>36</v>
      </c>
      <c r="P37" s="12" t="s">
        <v>486</v>
      </c>
      <c r="Q37" s="12" t="s">
        <v>487</v>
      </c>
      <c r="R37" s="12" t="s">
        <v>283</v>
      </c>
      <c r="S37" s="12" t="s">
        <v>488</v>
      </c>
      <c r="T37" s="12" t="s">
        <v>52</v>
      </c>
    </row>
    <row r="38" ht="15.75" customHeight="1">
      <c r="A38" s="11">
        <v>46292.0</v>
      </c>
      <c r="B38" s="12" t="s">
        <v>492</v>
      </c>
      <c r="C38" s="12" t="s">
        <v>493</v>
      </c>
      <c r="D38" s="12" t="s">
        <v>32</v>
      </c>
      <c r="E38" s="12" t="s">
        <v>344</v>
      </c>
      <c r="F38" s="12" t="s">
        <v>116</v>
      </c>
      <c r="G38" s="12" t="s">
        <v>36</v>
      </c>
      <c r="H38" s="12" t="s">
        <v>36</v>
      </c>
      <c r="I38" s="13" t="str">
        <f>HYPERLINK("https://www.teamworkonline.com/arenas-facilities-jobs/asm-global-jobs/asm-global-jobs/premium-club-coordinator-2190737","View / apply")</f>
        <v>View / apply</v>
      </c>
      <c r="J38" s="12" t="s">
        <v>59</v>
      </c>
      <c r="K38" s="12" t="s">
        <v>36</v>
      </c>
      <c r="L38" s="12" t="s">
        <v>72</v>
      </c>
      <c r="M38" s="12" t="s">
        <v>224</v>
      </c>
      <c r="N38" s="11">
        <v>46292.0</v>
      </c>
      <c r="O38" s="12" t="s">
        <v>36</v>
      </c>
      <c r="P38" s="12" t="s">
        <v>36</v>
      </c>
      <c r="Q38" s="12" t="s">
        <v>497</v>
      </c>
      <c r="R38" s="12" t="s">
        <v>499</v>
      </c>
      <c r="S38" s="12" t="s">
        <v>500</v>
      </c>
      <c r="T38" s="12" t="s">
        <v>52</v>
      </c>
    </row>
    <row r="39" ht="15.75" customHeight="1">
      <c r="A39" s="11">
        <v>46292.0</v>
      </c>
      <c r="B39" s="12" t="s">
        <v>502</v>
      </c>
      <c r="C39" s="12" t="s">
        <v>503</v>
      </c>
      <c r="D39" s="12" t="s">
        <v>32</v>
      </c>
      <c r="E39" s="12" t="s">
        <v>504</v>
      </c>
      <c r="F39" s="12" t="s">
        <v>350</v>
      </c>
      <c r="G39" s="12" t="s">
        <v>36</v>
      </c>
      <c r="H39" s="12" t="s">
        <v>36</v>
      </c>
      <c r="I39" s="13" t="str">
        <f>HYPERLINK("https://www.teamworkonline.com/baseball-jobs/northwoodsleague/mallards-nightmares-jobs/program-and-office-coordinator-2191015","View / apply")</f>
        <v>View / apply</v>
      </c>
      <c r="J39" s="12" t="s">
        <v>59</v>
      </c>
      <c r="K39" s="12" t="s">
        <v>36</v>
      </c>
      <c r="L39" s="12" t="s">
        <v>72</v>
      </c>
      <c r="M39" s="12" t="s">
        <v>84</v>
      </c>
      <c r="N39" s="11">
        <v>46292.0</v>
      </c>
      <c r="O39" s="12" t="s">
        <v>36</v>
      </c>
      <c r="P39" s="12" t="s">
        <v>36</v>
      </c>
      <c r="Q39" s="12" t="s">
        <v>508</v>
      </c>
      <c r="R39" s="12" t="s">
        <v>510</v>
      </c>
      <c r="S39" s="12" t="s">
        <v>511</v>
      </c>
      <c r="T39" s="12" t="s">
        <v>52</v>
      </c>
    </row>
    <row r="40" ht="15.75" customHeight="1">
      <c r="A40" s="11">
        <v>46292.0</v>
      </c>
      <c r="B40" s="12" t="s">
        <v>513</v>
      </c>
      <c r="C40" s="12" t="s">
        <v>493</v>
      </c>
      <c r="D40" s="12" t="s">
        <v>32</v>
      </c>
      <c r="E40" s="12" t="s">
        <v>514</v>
      </c>
      <c r="F40" s="12" t="s">
        <v>77</v>
      </c>
      <c r="G40" s="12" t="s">
        <v>36</v>
      </c>
      <c r="H40" s="12" t="s">
        <v>36</v>
      </c>
      <c r="I40" s="13" t="str">
        <f>HYPERLINK("https://www.teamworkonline.com/arenas-facilities-jobs/asm-global-jobs/asm-global-jobs/non-profit-organization-staffing-coordinator-raymond-james-stadium-2191718","View / apply")</f>
        <v>View / apply</v>
      </c>
      <c r="J40" s="12" t="s">
        <v>59</v>
      </c>
      <c r="K40" s="12" t="s">
        <v>36</v>
      </c>
      <c r="L40" s="12" t="s">
        <v>72</v>
      </c>
      <c r="M40" s="12" t="s">
        <v>153</v>
      </c>
      <c r="N40" s="11">
        <v>46292.0</v>
      </c>
      <c r="O40" s="12" t="s">
        <v>36</v>
      </c>
      <c r="P40" s="12" t="s">
        <v>518</v>
      </c>
      <c r="Q40" s="12" t="s">
        <v>519</v>
      </c>
      <c r="R40" s="12" t="s">
        <v>283</v>
      </c>
      <c r="S40" s="12" t="s">
        <v>522</v>
      </c>
      <c r="T40" s="12" t="s">
        <v>52</v>
      </c>
    </row>
    <row r="41" ht="15.75" customHeight="1">
      <c r="A41" s="11">
        <v>46292.0</v>
      </c>
      <c r="B41" s="12" t="s">
        <v>525</v>
      </c>
      <c r="C41" s="12" t="s">
        <v>526</v>
      </c>
      <c r="D41" s="12" t="s">
        <v>32</v>
      </c>
      <c r="E41" s="12" t="s">
        <v>527</v>
      </c>
      <c r="F41" s="12" t="s">
        <v>375</v>
      </c>
      <c r="G41" s="12" t="s">
        <v>36</v>
      </c>
      <c r="H41" s="12" t="s">
        <v>36</v>
      </c>
      <c r="I41" s="13" t="str">
        <f>HYPERLINK("https://www.teamworkonline.com/motorsports-jobs/nascar/michelin-raceway-jobs/office-coordinator-2191184","View / apply")</f>
        <v>View / apply</v>
      </c>
      <c r="J41" s="12" t="s">
        <v>59</v>
      </c>
      <c r="K41" s="12" t="s">
        <v>36</v>
      </c>
      <c r="L41" s="12" t="s">
        <v>72</v>
      </c>
      <c r="M41" s="12" t="s">
        <v>84</v>
      </c>
      <c r="N41" s="11">
        <v>46292.0</v>
      </c>
      <c r="O41" s="12" t="s">
        <v>36</v>
      </c>
      <c r="P41" s="12" t="s">
        <v>533</v>
      </c>
      <c r="Q41" s="12" t="s">
        <v>534</v>
      </c>
      <c r="R41" s="12" t="s">
        <v>535</v>
      </c>
      <c r="S41" s="12" t="s">
        <v>536</v>
      </c>
      <c r="T41" s="12" t="s">
        <v>52</v>
      </c>
    </row>
    <row r="42" ht="15.75" customHeight="1">
      <c r="A42" s="11">
        <v>46292.0</v>
      </c>
      <c r="B42" s="12" t="s">
        <v>537</v>
      </c>
      <c r="C42" s="12" t="s">
        <v>538</v>
      </c>
      <c r="D42" s="12" t="s">
        <v>32</v>
      </c>
      <c r="E42" s="12" t="s">
        <v>539</v>
      </c>
      <c r="F42" s="12" t="s">
        <v>249</v>
      </c>
      <c r="G42" s="12" t="s">
        <v>58</v>
      </c>
      <c r="H42" s="12" t="s">
        <v>36</v>
      </c>
      <c r="I42" s="13" t="str">
        <f>HYPERLINK("https://www.teamworkonline.com/arenas-facilities-jobs/hollywood-park-careers/hollywood-park-jobs/operations-coordinator-2191094","View / apply")</f>
        <v>View / apply</v>
      </c>
      <c r="J42" s="12" t="s">
        <v>59</v>
      </c>
      <c r="K42" s="12" t="s">
        <v>36</v>
      </c>
      <c r="L42" s="12" t="s">
        <v>72</v>
      </c>
      <c r="M42" s="12" t="s">
        <v>544</v>
      </c>
      <c r="N42" s="11">
        <v>46292.0</v>
      </c>
      <c r="O42" s="12" t="s">
        <v>545</v>
      </c>
      <c r="P42" s="12" t="s">
        <v>546</v>
      </c>
      <c r="Q42" s="12" t="s">
        <v>547</v>
      </c>
      <c r="R42" s="12" t="s">
        <v>283</v>
      </c>
      <c r="S42" s="12" t="s">
        <v>548</v>
      </c>
      <c r="T42" s="12" t="s">
        <v>52</v>
      </c>
    </row>
    <row r="43" ht="15.75" customHeight="1">
      <c r="A43" s="11">
        <v>46292.0</v>
      </c>
      <c r="B43" s="12" t="s">
        <v>549</v>
      </c>
      <c r="C43" s="12" t="s">
        <v>550</v>
      </c>
      <c r="D43" s="12" t="s">
        <v>32</v>
      </c>
      <c r="E43" s="12" t="s">
        <v>551</v>
      </c>
      <c r="F43" s="12" t="s">
        <v>552</v>
      </c>
      <c r="G43" s="12" t="s">
        <v>36</v>
      </c>
      <c r="H43" s="12" t="s">
        <v>36</v>
      </c>
      <c r="I43" s="13" t="str">
        <f>HYPERLINK("https://www.teamworkonline.com/multiple-properties/ilitch-sports/ilitch-sports-ent/activation-coordinator-detroit-red-wings-2191029","View / apply")</f>
        <v>View / apply</v>
      </c>
      <c r="J43" s="12" t="s">
        <v>59</v>
      </c>
      <c r="K43" s="12" t="s">
        <v>36</v>
      </c>
      <c r="L43" s="12" t="s">
        <v>72</v>
      </c>
      <c r="M43" s="12" t="s">
        <v>102</v>
      </c>
      <c r="N43" s="11">
        <v>46292.0</v>
      </c>
      <c r="O43" s="12" t="s">
        <v>36</v>
      </c>
      <c r="P43" s="12" t="s">
        <v>557</v>
      </c>
      <c r="Q43" s="12" t="s">
        <v>558</v>
      </c>
      <c r="R43" s="12" t="s">
        <v>283</v>
      </c>
      <c r="S43" s="12" t="s">
        <v>559</v>
      </c>
      <c r="T43" s="12" t="s">
        <v>52</v>
      </c>
    </row>
    <row r="44" ht="15.75" customHeight="1">
      <c r="A44" s="11">
        <v>46292.0</v>
      </c>
      <c r="B44" s="12" t="s">
        <v>560</v>
      </c>
      <c r="C44" s="12" t="s">
        <v>561</v>
      </c>
      <c r="D44" s="12" t="s">
        <v>32</v>
      </c>
      <c r="E44" s="12" t="s">
        <v>344</v>
      </c>
      <c r="F44" s="12" t="s">
        <v>116</v>
      </c>
      <c r="G44" s="12" t="s">
        <v>36</v>
      </c>
      <c r="H44" s="12" t="s">
        <v>36</v>
      </c>
      <c r="I44" s="13" t="str">
        <f>HYPERLINK("https://www.teamworkonline.com/soccer-jobs/fc-dallas-jobs/fc-dallas/full-time-fc-dallas-group-sales-representative-2190378","View / apply")</f>
        <v>View / apply</v>
      </c>
      <c r="J44" s="12" t="s">
        <v>59</v>
      </c>
      <c r="K44" s="12" t="s">
        <v>36</v>
      </c>
      <c r="L44" s="12" t="s">
        <v>72</v>
      </c>
      <c r="M44" s="12" t="s">
        <v>139</v>
      </c>
      <c r="N44" s="11">
        <v>46292.0</v>
      </c>
      <c r="O44" s="12" t="s">
        <v>567</v>
      </c>
      <c r="P44" s="12" t="s">
        <v>568</v>
      </c>
      <c r="Q44" s="12" t="s">
        <v>569</v>
      </c>
      <c r="R44" s="12" t="s">
        <v>283</v>
      </c>
      <c r="S44" s="12" t="s">
        <v>570</v>
      </c>
      <c r="T44" s="12" t="s">
        <v>52</v>
      </c>
    </row>
    <row r="45" ht="15.75" customHeight="1">
      <c r="A45" s="11">
        <v>46292.0</v>
      </c>
      <c r="B45" s="12" t="s">
        <v>575</v>
      </c>
      <c r="C45" s="12" t="s">
        <v>413</v>
      </c>
      <c r="D45" s="12" t="s">
        <v>32</v>
      </c>
      <c r="E45" s="12" t="s">
        <v>576</v>
      </c>
      <c r="F45" s="12" t="s">
        <v>137</v>
      </c>
      <c r="G45" s="12" t="s">
        <v>36</v>
      </c>
      <c r="H45" s="12" t="s">
        <v>36</v>
      </c>
      <c r="I45" s="13" t="str">
        <f>HYPERLINK("https://www.teamworkonline.com/college-jobs/learfield-ticketing/learfield-sports-properties-jobs/partnership-solutions-coordinator-university-of-north-carolina-at-chapel-hill-2191539","View / apply")</f>
        <v>View / apply</v>
      </c>
      <c r="J45" s="12" t="s">
        <v>59</v>
      </c>
      <c r="K45" s="12" t="s">
        <v>36</v>
      </c>
      <c r="L45" s="12" t="s">
        <v>72</v>
      </c>
      <c r="M45" s="12" t="s">
        <v>102</v>
      </c>
      <c r="N45" s="11">
        <v>46292.0</v>
      </c>
      <c r="O45" s="12" t="s">
        <v>36</v>
      </c>
      <c r="P45" s="12" t="s">
        <v>421</v>
      </c>
      <c r="Q45" s="12" t="s">
        <v>577</v>
      </c>
      <c r="R45" s="12" t="s">
        <v>578</v>
      </c>
      <c r="S45" s="12" t="s">
        <v>579</v>
      </c>
      <c r="T45" s="12" t="s">
        <v>52</v>
      </c>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23C145B1-B916-493E-9D54-F07A5CF0B662}" filter="1" showAutoFilter="1">
      <autoFilter ref="$A$5:$T$45"/>
    </customSheetView>
  </customSheetViews>
  <mergeCells count="2">
    <mergeCell ref="A1:H2"/>
    <mergeCell ref="A4:H4"/>
  </mergeCells>
  <conditionalFormatting sqref="L6:L14">
    <cfRule type="containsText" dxfId="6" priority="1" operator="containsText" text="New">
      <formula>NOT(ISERROR(SEARCH(("New"),(L6))))</formula>
    </cfRule>
  </conditionalFormatting>
  <conditionalFormatting sqref="L6:L14">
    <cfRule type="containsText" dxfId="7" priority="2" operator="containsText" text="Closing Soon">
      <formula>NOT(ISERROR(SEARCH(("Closing Soon"),(L6))))</formula>
    </cfRule>
  </conditionalFormatting>
  <conditionalFormatting sqref="L6:L14">
    <cfRule type="containsText" dxfId="8" priority="3" operator="containsText" text="Closed">
      <formula>NOT(ISERROR(SEARCH(("Closed"),(L6))))</formula>
    </cfRule>
  </conditionalFormatting>
  <conditionalFormatting sqref="L6:L14">
    <cfRule type="containsText" dxfId="9" priority="4" operator="containsText" text="Previously Listed">
      <formula>NOT(ISERROR(SEARCH(("Previously Listed"),(L6))))</formula>
    </cfRule>
  </conditionalFormatting>
  <dataValidations>
    <dataValidation type="list" allowBlank="1" sqref="G6:G45">
      <formula1>"Remote,Hybrid,On-Site,Not listed"</formula1>
    </dataValidation>
    <dataValidation type="list" allowBlank="1" sqref="L6:L45">
      <formula1>"New,Previously Listed,Closing Soon,Closed"</formula1>
    </dataValidation>
  </dataValidations>
  <printOptions/>
  <pageMargins bottom="0.75" footer="0.0" header="0.0" left="0.7" right="0.7" top="0.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5.25"/>
  </cols>
  <sheetData>
    <row r="1">
      <c r="A1" s="1" t="s">
        <v>0</v>
      </c>
    </row>
  </sheetData>
  <autoFilter ref="$A$1"/>
  <drawing r:id="rId1"/>
</worksheet>
</file>